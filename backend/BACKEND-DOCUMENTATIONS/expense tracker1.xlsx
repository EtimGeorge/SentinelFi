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solution energy and engineering services\Quotation files\FIPL_Installation_and_commissioning_of_a_new_compressor\MAIN_DOCUMENTS\"/>
    </mc:Choice>
  </mc:AlternateContent>
  <xr:revisionPtr revIDLastSave="0" documentId="13_ncr:1_{2FCF7C6C-B39C-4B5D-87CC-8C45A5DCA5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Print_Area" localSheetId="0">Sheet1!$A$1:$L$321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1" i="1" l="1"/>
  <c r="J131" i="1" s="1"/>
  <c r="J203" i="1"/>
  <c r="J204" i="1"/>
  <c r="J205" i="1"/>
  <c r="J206" i="1"/>
  <c r="G116" i="1"/>
  <c r="I116" i="1" s="1"/>
  <c r="J116" i="1" s="1"/>
  <c r="I265" i="1"/>
  <c r="I268" i="1"/>
  <c r="J268" i="1" s="1"/>
  <c r="G105" i="1"/>
  <c r="I105" i="1" s="1"/>
  <c r="J105" i="1" s="1"/>
  <c r="I261" i="1"/>
  <c r="J261" i="1" s="1"/>
  <c r="F302" i="1"/>
  <c r="G104" i="1"/>
  <c r="I107" i="1"/>
  <c r="J107" i="1" s="1"/>
  <c r="I108" i="1"/>
  <c r="J108" i="1" s="1"/>
  <c r="I109" i="1"/>
  <c r="J109" i="1" s="1"/>
  <c r="I104" i="1"/>
  <c r="J104" i="1" s="1"/>
  <c r="I106" i="1"/>
  <c r="J106" i="1" s="1"/>
  <c r="I130" i="1"/>
  <c r="J130" i="1" s="1"/>
  <c r="I199" i="1"/>
  <c r="J199" i="1" s="1"/>
  <c r="I200" i="1"/>
  <c r="J200" i="1" s="1"/>
  <c r="I201" i="1"/>
  <c r="J201" i="1" s="1"/>
  <c r="I202" i="1"/>
  <c r="J202" i="1" s="1"/>
  <c r="I203" i="1"/>
  <c r="I204" i="1"/>
  <c r="I205" i="1"/>
  <c r="I206" i="1"/>
  <c r="I258" i="1"/>
  <c r="J258" i="1" s="1"/>
  <c r="I259" i="1"/>
  <c r="J259" i="1" s="1"/>
  <c r="I260" i="1"/>
  <c r="J260" i="1" s="1"/>
  <c r="I262" i="1"/>
  <c r="J262" i="1" s="1"/>
  <c r="I263" i="1"/>
  <c r="J263" i="1" s="1"/>
  <c r="I264" i="1"/>
  <c r="J264" i="1" s="1"/>
  <c r="I266" i="1"/>
  <c r="J266" i="1" s="1"/>
  <c r="I267" i="1"/>
  <c r="J267" i="1" s="1"/>
  <c r="J10" i="1"/>
  <c r="F295" i="1"/>
  <c r="F294" i="1"/>
  <c r="F298" i="1"/>
  <c r="C284" i="1"/>
  <c r="B284" i="1"/>
  <c r="C283" i="1"/>
  <c r="B283" i="1"/>
  <c r="C282" i="1"/>
  <c r="B282" i="1"/>
  <c r="C281" i="1"/>
  <c r="B281" i="1"/>
  <c r="C279" i="1"/>
  <c r="I257" i="1"/>
  <c r="J257" i="1" s="1"/>
  <c r="I256" i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F238" i="1"/>
  <c r="I238" i="1" s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J224" i="1"/>
  <c r="I223" i="1"/>
  <c r="J223" i="1" s="1"/>
  <c r="I222" i="1"/>
  <c r="J222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E211" i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E136" i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E119" i="1"/>
  <c r="G118" i="1"/>
  <c r="I118" i="1" s="1"/>
  <c r="J118" i="1" s="1"/>
  <c r="G117" i="1"/>
  <c r="I117" i="1" s="1"/>
  <c r="J117" i="1" s="1"/>
  <c r="G115" i="1"/>
  <c r="I115" i="1" s="1"/>
  <c r="J115" i="1" s="1"/>
  <c r="G114" i="1"/>
  <c r="I114" i="1" s="1"/>
  <c r="J114" i="1" s="1"/>
  <c r="G113" i="1"/>
  <c r="I113" i="1" s="1"/>
  <c r="J113" i="1" s="1"/>
  <c r="G112" i="1"/>
  <c r="I112" i="1" s="1"/>
  <c r="J112" i="1" s="1"/>
  <c r="G111" i="1"/>
  <c r="I111" i="1" s="1"/>
  <c r="J111" i="1" s="1"/>
  <c r="G110" i="1"/>
  <c r="I110" i="1" s="1"/>
  <c r="J110" i="1" s="1"/>
  <c r="G103" i="1"/>
  <c r="I103" i="1" s="1"/>
  <c r="G102" i="1"/>
  <c r="I102" i="1" s="1"/>
  <c r="J102" i="1" s="1"/>
  <c r="G101" i="1"/>
  <c r="I101" i="1" s="1"/>
  <c r="J101" i="1" s="1"/>
  <c r="G100" i="1"/>
  <c r="I100" i="1" s="1"/>
  <c r="J100" i="1" s="1"/>
  <c r="G99" i="1"/>
  <c r="I99" i="1" s="1"/>
  <c r="J99" i="1" s="1"/>
  <c r="G98" i="1"/>
  <c r="I98" i="1" s="1"/>
  <c r="J98" i="1" s="1"/>
  <c r="G97" i="1"/>
  <c r="I97" i="1" s="1"/>
  <c r="J97" i="1" s="1"/>
  <c r="G96" i="1"/>
  <c r="I96" i="1" s="1"/>
  <c r="J96" i="1" s="1"/>
  <c r="G95" i="1"/>
  <c r="I95" i="1" s="1"/>
  <c r="J95" i="1" s="1"/>
  <c r="G94" i="1"/>
  <c r="I94" i="1" s="1"/>
  <c r="J94" i="1" s="1"/>
  <c r="G93" i="1"/>
  <c r="I93" i="1" s="1"/>
  <c r="J93" i="1" s="1"/>
  <c r="G92" i="1"/>
  <c r="I92" i="1" s="1"/>
  <c r="J92" i="1" s="1"/>
  <c r="G91" i="1"/>
  <c r="I91" i="1" s="1"/>
  <c r="J91" i="1" s="1"/>
  <c r="G90" i="1"/>
  <c r="I90" i="1" s="1"/>
  <c r="J90" i="1" s="1"/>
  <c r="G89" i="1"/>
  <c r="I89" i="1" s="1"/>
  <c r="J89" i="1" s="1"/>
  <c r="G88" i="1"/>
  <c r="I88" i="1" s="1"/>
  <c r="J88" i="1" s="1"/>
  <c r="G87" i="1"/>
  <c r="I87" i="1" s="1"/>
  <c r="J87" i="1" s="1"/>
  <c r="G86" i="1"/>
  <c r="I86" i="1" s="1"/>
  <c r="J86" i="1" s="1"/>
  <c r="G85" i="1"/>
  <c r="I85" i="1" s="1"/>
  <c r="J85" i="1" s="1"/>
  <c r="G84" i="1"/>
  <c r="I84" i="1" s="1"/>
  <c r="J84" i="1" s="1"/>
  <c r="G83" i="1"/>
  <c r="I83" i="1" s="1"/>
  <c r="J83" i="1" s="1"/>
  <c r="G82" i="1"/>
  <c r="I82" i="1" s="1"/>
  <c r="J82" i="1" s="1"/>
  <c r="G81" i="1"/>
  <c r="I81" i="1" s="1"/>
  <c r="J81" i="1" s="1"/>
  <c r="E80" i="1"/>
  <c r="G80" i="1" s="1"/>
  <c r="H76" i="1"/>
  <c r="C280" i="1" s="1"/>
  <c r="F76" i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J58" i="1"/>
  <c r="I57" i="1"/>
  <c r="J57" i="1" s="1"/>
  <c r="I56" i="1"/>
  <c r="E56" i="1"/>
  <c r="E76" i="1" s="1"/>
  <c r="B280" i="1" s="1"/>
  <c r="I55" i="1"/>
  <c r="J55" i="1" s="1"/>
  <c r="I54" i="1"/>
  <c r="J54" i="1" s="1"/>
  <c r="I53" i="1"/>
  <c r="J53" i="1" s="1"/>
  <c r="J52" i="1"/>
  <c r="I51" i="1"/>
  <c r="J51" i="1" s="1"/>
  <c r="H50" i="1"/>
  <c r="F50" i="1"/>
  <c r="E50" i="1"/>
  <c r="E47" i="1"/>
  <c r="B279" i="1" s="1"/>
  <c r="J46" i="1"/>
  <c r="I45" i="1"/>
  <c r="J45" i="1" s="1"/>
  <c r="J44" i="1"/>
  <c r="J43" i="1"/>
  <c r="J42" i="1"/>
  <c r="J41" i="1"/>
  <c r="J40" i="1"/>
  <c r="J39" i="1"/>
  <c r="I38" i="1"/>
  <c r="J38" i="1" s="1"/>
  <c r="I37" i="1"/>
  <c r="J37" i="1" s="1"/>
  <c r="I33" i="1"/>
  <c r="J33" i="1" s="1"/>
  <c r="I32" i="1"/>
  <c r="J32" i="1" s="1"/>
  <c r="I31" i="1"/>
  <c r="J31" i="1" s="1"/>
  <c r="I30" i="1"/>
  <c r="J30" i="1" s="1"/>
  <c r="J29" i="1"/>
  <c r="F28" i="1"/>
  <c r="I28" i="1" s="1"/>
  <c r="J28" i="1" s="1"/>
  <c r="I24" i="1"/>
  <c r="J24" i="1" s="1"/>
  <c r="I23" i="1"/>
  <c r="J23" i="1" s="1"/>
  <c r="I22" i="1"/>
  <c r="F21" i="1"/>
  <c r="F47" i="1" s="1"/>
  <c r="E21" i="1"/>
  <c r="I18" i="1"/>
  <c r="H18" i="1"/>
  <c r="C278" i="1" s="1"/>
  <c r="F18" i="1"/>
  <c r="F5" i="1" s="1"/>
  <c r="E18" i="1"/>
  <c r="B278" i="1" s="1"/>
  <c r="J17" i="1"/>
  <c r="J16" i="1"/>
  <c r="J15" i="1"/>
  <c r="J14" i="1"/>
  <c r="J13" i="1"/>
  <c r="J12" i="1"/>
  <c r="J11" i="1"/>
  <c r="J9" i="1"/>
  <c r="J8" i="1"/>
  <c r="J7" i="1"/>
  <c r="J6" i="1"/>
  <c r="I5" i="1"/>
  <c r="H5" i="1"/>
  <c r="I269" i="1" l="1"/>
  <c r="J269" i="1" s="1"/>
  <c r="E284" i="1" s="1"/>
  <c r="F284" i="1" s="1"/>
  <c r="F301" i="1"/>
  <c r="I221" i="1"/>
  <c r="I136" i="1"/>
  <c r="J136" i="1" s="1"/>
  <c r="I119" i="1"/>
  <c r="J119" i="1" s="1"/>
  <c r="I168" i="1"/>
  <c r="J168" i="1" s="1"/>
  <c r="I207" i="1"/>
  <c r="J221" i="1"/>
  <c r="E5" i="1"/>
  <c r="C285" i="1"/>
  <c r="I211" i="1"/>
  <c r="I210" i="1" s="1"/>
  <c r="J210" i="1" s="1"/>
  <c r="I47" i="1"/>
  <c r="D279" i="1" s="1"/>
  <c r="B285" i="1"/>
  <c r="I21" i="1"/>
  <c r="J21" i="1" s="1"/>
  <c r="J137" i="1"/>
  <c r="J56" i="1"/>
  <c r="J76" i="1" s="1"/>
  <c r="E280" i="1" s="1"/>
  <c r="F280" i="1" s="1"/>
  <c r="I218" i="1"/>
  <c r="D283" i="1" s="1"/>
  <c r="J22" i="1"/>
  <c r="J18" i="1"/>
  <c r="E278" i="1" s="1"/>
  <c r="F278" i="1" s="1"/>
  <c r="I50" i="1"/>
  <c r="J50" i="1" s="1"/>
  <c r="I76" i="1"/>
  <c r="D280" i="1" s="1"/>
  <c r="E273" i="1"/>
  <c r="J256" i="1"/>
  <c r="I80" i="1"/>
  <c r="J103" i="1"/>
  <c r="D278" i="1"/>
  <c r="I167" i="1" l="1"/>
  <c r="J167" i="1" s="1"/>
  <c r="J218" i="1"/>
  <c r="E283" i="1" s="1"/>
  <c r="F283" i="1" s="1"/>
  <c r="J211" i="1"/>
  <c r="D284" i="1"/>
  <c r="J47" i="1"/>
  <c r="E279" i="1" s="1"/>
  <c r="F279" i="1" s="1"/>
  <c r="J207" i="1"/>
  <c r="E282" i="1" s="1"/>
  <c r="F282" i="1" s="1"/>
  <c r="D282" i="1"/>
  <c r="I163" i="1"/>
  <c r="J80" i="1"/>
  <c r="I79" i="1"/>
  <c r="J163" i="1" l="1"/>
  <c r="E281" i="1" s="1"/>
  <c r="J79" i="1"/>
  <c r="D281" i="1"/>
  <c r="D285" i="1" s="1"/>
  <c r="F303" i="1" s="1"/>
  <c r="F304" i="1" s="1"/>
  <c r="I273" i="1"/>
  <c r="J273" i="1" s="1"/>
  <c r="F281" i="1" l="1"/>
  <c r="E285" i="1"/>
  <c r="F285" i="1" s="1"/>
</calcChain>
</file>

<file path=xl/sharedStrings.xml><?xml version="1.0" encoding="utf-8"?>
<sst xmlns="http://schemas.openxmlformats.org/spreadsheetml/2006/main" count="1064" uniqueCount="527">
  <si>
    <t>Project Expense Tracking Template (NGN)</t>
  </si>
  <si>
    <t xml:space="preserve"> live Cost Control Register, tracking actual spend against your approved budget for better financial oversight.</t>
  </si>
  <si>
    <t>S/N</t>
  </si>
  <si>
    <t>Date</t>
  </si>
  <si>
    <t>WBS Category</t>
  </si>
  <si>
    <t>Item Description (Detailed)</t>
  </si>
  <si>
    <t>Budgeted Total Cost (NGN)</t>
  </si>
  <si>
    <t>Actual Unit Cost (NGN)</t>
  </si>
  <si>
    <t>Actual Quantity</t>
  </si>
  <si>
    <t>Commitment/LPO Amount (NGN)</t>
  </si>
  <si>
    <t>Actual Paid Amount (NGN)</t>
  </si>
  <si>
    <t>Cost Variance (NGN)</t>
  </si>
  <si>
    <t>Document Reference (Invoice/PV)</t>
  </si>
  <si>
    <t>Notes/Justification</t>
  </si>
  <si>
    <t>-</t>
  </si>
  <si>
    <t>H/R (Manpower)</t>
  </si>
  <si>
    <t>H/R</t>
  </si>
  <si>
    <t>Project Engineer (Week 1 Salary)</t>
  </si>
  <si>
    <t>1 L/S</t>
  </si>
  <si>
    <t>PV-PE-M1</t>
  </si>
  <si>
    <t>Paid monthly</t>
  </si>
  <si>
    <t>AutoCAD Engineer (Week 1 Salary)</t>
  </si>
  <si>
    <t>PV-AE-M1</t>
  </si>
  <si>
    <t>QHSE Officer (Week 1 Salary)</t>
  </si>
  <si>
    <t>PV-QO-M1</t>
  </si>
  <si>
    <t>11/14/2025, 11/18/2025, 11/21/2025</t>
  </si>
  <si>
    <t>Iron Bender (Week 1 Salary)</t>
  </si>
  <si>
    <t>5 days</t>
  </si>
  <si>
    <t>PV-IB-D1</t>
  </si>
  <si>
    <t>paid daily</t>
  </si>
  <si>
    <t>Mason (Week 1 Salary)</t>
  </si>
  <si>
    <t>4 days</t>
  </si>
  <si>
    <t>PV-MASON-D1</t>
  </si>
  <si>
    <t>Welder / Fabricator (Week 1 Salary)</t>
  </si>
  <si>
    <t>12 days</t>
  </si>
  <si>
    <t>PV-WF-D</t>
  </si>
  <si>
    <t>Electrician Technician (Week 1 Salary)</t>
  </si>
  <si>
    <t>3 days</t>
  </si>
  <si>
    <t>PV-ET-D1</t>
  </si>
  <si>
    <t>32 days</t>
  </si>
  <si>
    <t>PV-HL-D1</t>
  </si>
  <si>
    <t>Equipment Operator (Week 1 Salary)</t>
  </si>
  <si>
    <t>2 days</t>
  </si>
  <si>
    <t>PV-EO-D1</t>
  </si>
  <si>
    <t>11/25/2025, 11/27/2025, 12/01/2025</t>
  </si>
  <si>
    <t>Roof installers (Week 1 Salary)</t>
  </si>
  <si>
    <t>PV-RI-D0</t>
  </si>
  <si>
    <t>Pipe Fitter (Week 1 Salary)</t>
  </si>
  <si>
    <t>1 Days</t>
  </si>
  <si>
    <t>PV-PI-D1</t>
  </si>
  <si>
    <t>11/15/2025, 11/17/2025, 11/29/2025,</t>
  </si>
  <si>
    <t>HR</t>
  </si>
  <si>
    <t>Capenter</t>
  </si>
  <si>
    <t>L/S ( UNBUDGETED)</t>
  </si>
  <si>
    <t>SUB-TOTALS</t>
  </si>
  <si>
    <t>Material Requirements</t>
  </si>
  <si>
    <t>Material</t>
  </si>
  <si>
    <t xml:space="preserve">Elephant Ordinary Portland Cement (OPC) </t>
  </si>
  <si>
    <t>INV-SUP-001</t>
  </si>
  <si>
    <t>River Sand</t>
  </si>
  <si>
    <t>INV-SUP-002</t>
  </si>
  <si>
    <t>Granite Chippings</t>
  </si>
  <si>
    <t>INV-SUP-003</t>
  </si>
  <si>
    <t>Reinforcement Bars(10mm)</t>
  </si>
  <si>
    <t>Reinforcement Bars (12mm)</t>
  </si>
  <si>
    <t>Reinforcement Bars (16mm)</t>
  </si>
  <si>
    <t>Reinforcement Bars (Avg. 10/12/16mm)</t>
  </si>
  <si>
    <t>INV-SUP-004</t>
  </si>
  <si>
    <t>Binding Wire (Gauge 16)</t>
  </si>
  <si>
    <t>INV-SUP-005</t>
  </si>
  <si>
    <t>Formwork Boards (3/4" marine board)</t>
  </si>
  <si>
    <t>INV-SUP-006</t>
  </si>
  <si>
    <t>Anchor Bolts / Expansion Bolts (M16-M20)</t>
  </si>
  <si>
    <t>INV-SUP-007</t>
  </si>
  <si>
    <t>I-Beams/H-Beams (Galv. 100x150mm)</t>
  </si>
  <si>
    <t>INV-SUP-008</t>
  </si>
  <si>
    <t>Base Plates (12mm thick steel)</t>
  </si>
  <si>
    <t>INV-SUP-009</t>
  </si>
  <si>
    <t>Angle Iron (60 x 60 x 5)</t>
  </si>
  <si>
    <t>Angle Iron (50 x 50 x 5)</t>
  </si>
  <si>
    <t>Angle Iron (40 x 40 x 5)</t>
  </si>
  <si>
    <t>Angle Iron (mm)</t>
  </si>
  <si>
    <t>INV-SUP-010</t>
  </si>
  <si>
    <t xml:space="preserve">U-channel </t>
  </si>
  <si>
    <t>INV-SUP-011</t>
  </si>
  <si>
    <t>Aluminum Roofing Sheets (Corrugated, 3m)</t>
  </si>
  <si>
    <t>INV-SUP-012</t>
  </si>
  <si>
    <t>Galvanized Piping &amp; Fittings (1.5" &amp; 2")</t>
  </si>
  <si>
    <t>INV-SUP-013</t>
  </si>
  <si>
    <t>80A Circuit Breaker (ABB 100 Amp)</t>
  </si>
  <si>
    <t>INV-SUP-014</t>
  </si>
  <si>
    <t>25mm x 4-Core Flexible Cable</t>
  </si>
  <si>
    <t>INV-SUP-015</t>
  </si>
  <si>
    <t>INV-SUP-016</t>
  </si>
  <si>
    <t>Paint / Anti-corrosion Coating (Primer + Top)</t>
  </si>
  <si>
    <t>INV-SUP-017</t>
  </si>
  <si>
    <t>QA/QC Materials (Molds, Slump Cone, Sheets)</t>
  </si>
  <si>
    <t>INV-SUP-018</t>
  </si>
  <si>
    <t>Consumables (Rods, discs, bolts, nuts, sealants)</t>
  </si>
  <si>
    <t>INV-SUP-019</t>
  </si>
  <si>
    <t>Equipment / Tools</t>
  </si>
  <si>
    <t>Days</t>
  </si>
  <si>
    <t>Equipment</t>
  </si>
  <si>
    <t>Manual Forklift</t>
  </si>
  <si>
    <t>LPO-RENT-001</t>
  </si>
  <si>
    <t>Rental LPO issued for 12 days</t>
  </si>
  <si>
    <t>Concrete Mixer, Vibrator (Handheld, electric) &amp; equipment/ Mob and Demob</t>
  </si>
  <si>
    <t>LPO-RENT-002</t>
  </si>
  <si>
    <t>Welding Machine (300A capacity)</t>
  </si>
  <si>
    <t>LPO-RENT-003</t>
  </si>
  <si>
    <t>Grinding Machine (9" disc)</t>
  </si>
  <si>
    <t>LPO-RENT-004</t>
  </si>
  <si>
    <t>Drilling Machine (Corded / impact type)</t>
  </si>
  <si>
    <t>LPO-RENT-005</t>
  </si>
  <si>
    <t>Spanners &amp; Socket Sets (up to 32mm)</t>
  </si>
  <si>
    <t>LPO-RENT-006</t>
  </si>
  <si>
    <t>Pipe Wrench &amp; Threading Tools (Up to 2")</t>
  </si>
  <si>
    <t>LPO-RENT-007</t>
  </si>
  <si>
    <t xml:space="preserve">Measuring Tape </t>
  </si>
  <si>
    <t>LPO-RENT-008</t>
  </si>
  <si>
    <t>Scaffold / Ladder (Certified type)</t>
  </si>
  <si>
    <t>LPO-RENT-009</t>
  </si>
  <si>
    <t>Electric Testers / Multimeter</t>
  </si>
  <si>
    <t>INV-E-009</t>
  </si>
  <si>
    <t>Hand Tools (Hammers, , etc.)</t>
  </si>
  <si>
    <t>INV-PPE-008</t>
  </si>
  <si>
    <t>Hand Tools (Shovels, Headpans &amp; diggers)</t>
  </si>
  <si>
    <t>INV-PPE-007</t>
  </si>
  <si>
    <t>PPE - Helmet (For 15 Personnel)</t>
  </si>
  <si>
    <t>INV-PPE-006</t>
  </si>
  <si>
    <t>PPE - Gloves (For 15 Personnel)</t>
  </si>
  <si>
    <t>INV-PPE-005</t>
  </si>
  <si>
    <t>PPE - Boots (For 15 Personnel)</t>
  </si>
  <si>
    <t>INV-PPE-004</t>
  </si>
  <si>
    <t>PPE - Coverall (For 15 Personnel)</t>
  </si>
  <si>
    <t>INV-PPE-003</t>
  </si>
  <si>
    <t>PPE - Harness (Assumed 2 for height)</t>
  </si>
  <si>
    <t>INV-PPE-002</t>
  </si>
  <si>
    <t>PPE - Goggles/Earplugs (For 15 Personnel)</t>
  </si>
  <si>
    <t>INV-PPE-001</t>
  </si>
  <si>
    <t xml:space="preserve">Nose Mask </t>
  </si>
  <si>
    <t>INV-PPE-000</t>
  </si>
  <si>
    <t>First Aid Box (HSE compliant)</t>
  </si>
  <si>
    <t>INV-FBOX-001</t>
  </si>
  <si>
    <t>Boots price higher than budget</t>
  </si>
  <si>
    <t>Barricades / Safety Cones / Signs</t>
  </si>
  <si>
    <t>INV-CAUTION-002</t>
  </si>
  <si>
    <t>Wheelbarrows (Re-inforced)</t>
  </si>
  <si>
    <t>INV-WB-003</t>
  </si>
  <si>
    <t>mason hammer</t>
  </si>
  <si>
    <t>Digger</t>
  </si>
  <si>
    <t>havy duty hammer</t>
  </si>
  <si>
    <t>Logistics &amp; Mobilization</t>
  </si>
  <si>
    <t>Logistics</t>
  </si>
  <si>
    <t>Fuel/ Refill (Generator) and (Vehicle)</t>
  </si>
  <si>
    <t>Receipt-Fuel-00</t>
  </si>
  <si>
    <t>Draw down from Fuel budget</t>
  </si>
  <si>
    <t>4.1.1</t>
  </si>
  <si>
    <t>Fuel (vehicle)</t>
  </si>
  <si>
    <t>Receipt-Fuel-001</t>
  </si>
  <si>
    <t>4.1.2</t>
  </si>
  <si>
    <t>Receipt-Fuel-002</t>
  </si>
  <si>
    <t>4.1.3</t>
  </si>
  <si>
    <t>Receipt-Fuel-003</t>
  </si>
  <si>
    <t>4.1.4</t>
  </si>
  <si>
    <t>Receipt-Fuel-004</t>
  </si>
  <si>
    <t>4.1.5</t>
  </si>
  <si>
    <t>Receipt-Fuel-005</t>
  </si>
  <si>
    <t>4.1.6</t>
  </si>
  <si>
    <t>Receipt-Fuel-006</t>
  </si>
  <si>
    <t>4.1.7</t>
  </si>
  <si>
    <t>Receipt-Fuel-007</t>
  </si>
  <si>
    <t>4.1.8</t>
  </si>
  <si>
    <t>Receipt-Fuel-008</t>
  </si>
  <si>
    <t>4.1.9</t>
  </si>
  <si>
    <t>Receipt-Fuel-009</t>
  </si>
  <si>
    <t>4.1.10</t>
  </si>
  <si>
    <t>Receipt-Fuel-010</t>
  </si>
  <si>
    <t>4.1.11</t>
  </si>
  <si>
    <t>Receipt-Fuel-011</t>
  </si>
  <si>
    <t>4.1.12</t>
  </si>
  <si>
    <t>Receipt-Fuel-012</t>
  </si>
  <si>
    <t>4.1.13</t>
  </si>
  <si>
    <t>Receipt-Fuel-013</t>
  </si>
  <si>
    <t>4.1.14</t>
  </si>
  <si>
    <t>Receipt-Fuel-014</t>
  </si>
  <si>
    <t>4.1.15</t>
  </si>
  <si>
    <t>Receipt-Fuel-015</t>
  </si>
  <si>
    <t>4.1.16</t>
  </si>
  <si>
    <t>Receipt-Fuel-016</t>
  </si>
  <si>
    <t>4.1.17</t>
  </si>
  <si>
    <t>Receipt-Fuel-017</t>
  </si>
  <si>
    <t>4.1.18</t>
  </si>
  <si>
    <t>Receipt-Fuel-018</t>
  </si>
  <si>
    <t>4.1.19</t>
  </si>
  <si>
    <t>Receipt-Fuel-019</t>
  </si>
  <si>
    <t>4.1.20</t>
  </si>
  <si>
    <t>Receipt-Fuel-020</t>
  </si>
  <si>
    <t>4.1.21</t>
  </si>
  <si>
    <t>Receipt-Fuel-021</t>
  </si>
  <si>
    <t>4.1.22</t>
  </si>
  <si>
    <t>Receipt-Fuel-022</t>
  </si>
  <si>
    <t>4.1.23</t>
  </si>
  <si>
    <t>Receipt-Fuel-023</t>
  </si>
  <si>
    <t>4.1.2.0</t>
  </si>
  <si>
    <t>Office Operational power cost</t>
  </si>
  <si>
    <t>4.1.2.1</t>
  </si>
  <si>
    <t>Fuel (Generator Office)</t>
  </si>
  <si>
    <t>4.1.2.2</t>
  </si>
  <si>
    <t>4.1.2.3</t>
  </si>
  <si>
    <t>4.1.2.4</t>
  </si>
  <si>
    <t>4.1.2.5</t>
  </si>
  <si>
    <t>Fuel (Generator Home)</t>
  </si>
  <si>
    <t>4.1.2.6</t>
  </si>
  <si>
    <t xml:space="preserve">Vehicle Maintenance </t>
  </si>
  <si>
    <t>PV-MAINT-00</t>
  </si>
  <si>
    <t>Emergency, unbudgeted repair</t>
  </si>
  <si>
    <t>4.2.1</t>
  </si>
  <si>
    <t>Vehicle Maintenance  ( Car Oil)</t>
  </si>
  <si>
    <t>PV-MAINT-001</t>
  </si>
  <si>
    <t>4.2.2</t>
  </si>
  <si>
    <t xml:space="preserve">Logistics </t>
  </si>
  <si>
    <t>Vehicle Maintenance (battery &amp; Battery Terminal)</t>
  </si>
  <si>
    <t>PV-MAINT-002</t>
  </si>
  <si>
    <t>4.2.3</t>
  </si>
  <si>
    <t>Vehicle Maintenance  (Car Oil)</t>
  </si>
  <si>
    <t>PV-MAINT-003</t>
  </si>
  <si>
    <t>4.2.4</t>
  </si>
  <si>
    <t>pump tire</t>
  </si>
  <si>
    <t>PV-MAINT-004</t>
  </si>
  <si>
    <t>4.2.5</t>
  </si>
  <si>
    <t>PV-MAINT-005</t>
  </si>
  <si>
    <t>4.2.6</t>
  </si>
  <si>
    <t>PV-MAINT-006</t>
  </si>
  <si>
    <t>4.2.7</t>
  </si>
  <si>
    <t>Vehicle Maintenance  (tire repair)</t>
  </si>
  <si>
    <t>PV-MAINT-007</t>
  </si>
  <si>
    <t>4.2.8</t>
  </si>
  <si>
    <t>PV-MAINT-008</t>
  </si>
  <si>
    <t>4.2.9</t>
  </si>
  <si>
    <t>PV-MAINT-009</t>
  </si>
  <si>
    <t>4.2.10</t>
  </si>
  <si>
    <t>PV-MAINT-010</t>
  </si>
  <si>
    <t>Local Transport Fees (Staff daily shuttle)</t>
  </si>
  <si>
    <t>PV-TRANS-00</t>
  </si>
  <si>
    <t>Ad-hoc transport to and from office</t>
  </si>
  <si>
    <t>4.3.1</t>
  </si>
  <si>
    <t>PV-TRANS-001</t>
  </si>
  <si>
    <t>4.3.2</t>
  </si>
  <si>
    <t>PV-TRANS-002</t>
  </si>
  <si>
    <t>4.3.3</t>
  </si>
  <si>
    <t>PV-TRANS-003</t>
  </si>
  <si>
    <t>4.3.4</t>
  </si>
  <si>
    <t>PV-TRANS-004</t>
  </si>
  <si>
    <t>4.3.5</t>
  </si>
  <si>
    <t>Local Transport Fees (Staff shuttle to Site-Afam)</t>
  </si>
  <si>
    <t>PV-TRANS-005</t>
  </si>
  <si>
    <t>4.3.6</t>
  </si>
  <si>
    <t>Local Transport fairs (Staff daily shuttle)</t>
  </si>
  <si>
    <t>PV-TRANS-006</t>
  </si>
  <si>
    <t>4.3.7</t>
  </si>
  <si>
    <t>PV-TRANS-007</t>
  </si>
  <si>
    <t>4.3.8</t>
  </si>
  <si>
    <t>PV-TRANS-008</t>
  </si>
  <si>
    <t>4.3.9</t>
  </si>
  <si>
    <t>PV-TRANS-009</t>
  </si>
  <si>
    <t>4.3.10</t>
  </si>
  <si>
    <t>PV-TRANS-010</t>
  </si>
  <si>
    <t>4.3.11</t>
  </si>
  <si>
    <t>PV-TRANS-011</t>
  </si>
  <si>
    <t>4.3.12</t>
  </si>
  <si>
    <t>PV-TRANS-012</t>
  </si>
  <si>
    <t>4.3.13</t>
  </si>
  <si>
    <t>PV-TRANS-013</t>
  </si>
  <si>
    <t>4.3.14</t>
  </si>
  <si>
    <t>PV-TRANS-014</t>
  </si>
  <si>
    <t>4.3.15</t>
  </si>
  <si>
    <t>PV-TRANS-015</t>
  </si>
  <si>
    <t>4.3.16</t>
  </si>
  <si>
    <t>PV-TRANS-016</t>
  </si>
  <si>
    <t>4.3.17</t>
  </si>
  <si>
    <t>PV-TRANS-017</t>
  </si>
  <si>
    <t>4.3.18</t>
  </si>
  <si>
    <t>PV-TRANS-018</t>
  </si>
  <si>
    <t>4.3.19</t>
  </si>
  <si>
    <t>PV-TRANS-019</t>
  </si>
  <si>
    <t>4.3.20</t>
  </si>
  <si>
    <t>PV-TRANS-020</t>
  </si>
  <si>
    <t>4.3.21</t>
  </si>
  <si>
    <t>PV-TRANS-021</t>
  </si>
  <si>
    <t>4.3.22</t>
  </si>
  <si>
    <t>4.3.23</t>
  </si>
  <si>
    <t>4.3.24</t>
  </si>
  <si>
    <t>4.3.25</t>
  </si>
  <si>
    <t>4.3.26</t>
  </si>
  <si>
    <t>Accommodation &amp; Welfare</t>
  </si>
  <si>
    <t>Welfare</t>
  </si>
  <si>
    <t>Staff Feeding (Daily stipend/provision)</t>
  </si>
  <si>
    <t>Persons</t>
  </si>
  <si>
    <t>PV-FEED-00</t>
  </si>
  <si>
    <t>Required for productivity</t>
  </si>
  <si>
    <t>5.1.1</t>
  </si>
  <si>
    <t>PV-FEED-001</t>
  </si>
  <si>
    <t>5.1.2</t>
  </si>
  <si>
    <t>PV-FEED-002</t>
  </si>
  <si>
    <t>5.1.3</t>
  </si>
  <si>
    <t>PV-FEED-003</t>
  </si>
  <si>
    <t>5.1.4</t>
  </si>
  <si>
    <t>PV-FEED-004</t>
  </si>
  <si>
    <t>5.1.5</t>
  </si>
  <si>
    <t>PV-FEED-005</t>
  </si>
  <si>
    <t>5.1.6</t>
  </si>
  <si>
    <t>PV-FEED-006</t>
  </si>
  <si>
    <t>5.1.7</t>
  </si>
  <si>
    <t>PV-FEED-007</t>
  </si>
  <si>
    <t>5.1.8</t>
  </si>
  <si>
    <t>PV-FEED-008</t>
  </si>
  <si>
    <t>5.1.9</t>
  </si>
  <si>
    <t>PV-FEED-009</t>
  </si>
  <si>
    <t>5.1.10</t>
  </si>
  <si>
    <t>5.1.11</t>
  </si>
  <si>
    <t>PV-FEED-010</t>
  </si>
  <si>
    <t>5.1.12</t>
  </si>
  <si>
    <t>PV-FEED-011</t>
  </si>
  <si>
    <t>5.1.13</t>
  </si>
  <si>
    <t>PV-FEED-012</t>
  </si>
  <si>
    <t>5.1.14</t>
  </si>
  <si>
    <t>PV-FEED-013</t>
  </si>
  <si>
    <t>5.1.15</t>
  </si>
  <si>
    <t>PV-FEED-014</t>
  </si>
  <si>
    <t>5.1.16</t>
  </si>
  <si>
    <t>PV-FEED-015</t>
  </si>
  <si>
    <t>5.1.17</t>
  </si>
  <si>
    <t>PV-FEED-016</t>
  </si>
  <si>
    <t>5.1.18</t>
  </si>
  <si>
    <t>PV-FEED-017</t>
  </si>
  <si>
    <t>5.1.19</t>
  </si>
  <si>
    <t>PV-FEED-018</t>
  </si>
  <si>
    <t>5.1.20</t>
  </si>
  <si>
    <t>PV-FEED-019</t>
  </si>
  <si>
    <t>5.1.21</t>
  </si>
  <si>
    <t>PV-FEED-020</t>
  </si>
  <si>
    <t>5.1.22</t>
  </si>
  <si>
    <t>Staff Feeding (Daily stipend/provision) paid arias of staff labourers feeding</t>
  </si>
  <si>
    <t>PV-FEED-021</t>
  </si>
  <si>
    <t>5.1.23</t>
  </si>
  <si>
    <t>PV-FEED-022</t>
  </si>
  <si>
    <t>5.1.24</t>
  </si>
  <si>
    <t>PV-FEED-023</t>
  </si>
  <si>
    <t>5.1.25</t>
  </si>
  <si>
    <t>PV-FEED-024</t>
  </si>
  <si>
    <t>5.1.26</t>
  </si>
  <si>
    <t>PV-FEED-025</t>
  </si>
  <si>
    <t>5.1.27</t>
  </si>
  <si>
    <t>PV-FEED-026</t>
  </si>
  <si>
    <t>5.1.28</t>
  </si>
  <si>
    <t>PV-FEED-027</t>
  </si>
  <si>
    <t>5.1.29</t>
  </si>
  <si>
    <t>PV-FEED-028</t>
  </si>
  <si>
    <t>5.1.30</t>
  </si>
  <si>
    <t>PV-FEED-029</t>
  </si>
  <si>
    <t xml:space="preserve">Accommodation </t>
  </si>
  <si>
    <t>Accommodation</t>
  </si>
  <si>
    <t>Housing/Site Office Rental (Weekly Payment)</t>
  </si>
  <si>
    <t>Day</t>
  </si>
  <si>
    <t>INV-RENT-00</t>
  </si>
  <si>
    <t>Weekly rental fee paid</t>
  </si>
  <si>
    <t>6.1.1</t>
  </si>
  <si>
    <t>INV-RENT-001</t>
  </si>
  <si>
    <t>6.1.2</t>
  </si>
  <si>
    <t>INV-RENT-002</t>
  </si>
  <si>
    <t>6.1.3</t>
  </si>
  <si>
    <t>INV-RENT-003</t>
  </si>
  <si>
    <t>6.1.4</t>
  </si>
  <si>
    <t>INV-RENT-004</t>
  </si>
  <si>
    <t>6.1.5</t>
  </si>
  <si>
    <t>INV-RENT-005</t>
  </si>
  <si>
    <t>6.1.6</t>
  </si>
  <si>
    <t>INV-RENT-006</t>
  </si>
  <si>
    <t>Contingency Draw 9PR)</t>
  </si>
  <si>
    <t>Fipl security pesonnel lunch</t>
  </si>
  <si>
    <t>UNBUDGETED</t>
  </si>
  <si>
    <t>Contingency Draw ( Service charge)</t>
  </si>
  <si>
    <t>Transfer Service charge</t>
  </si>
  <si>
    <t>Contingency Draw (Logistics)</t>
  </si>
  <si>
    <t>Transportation for Cement</t>
  </si>
  <si>
    <t>Contingency Draw (Equipment (tool))</t>
  </si>
  <si>
    <t>ANTICHOC PLUM</t>
  </si>
  <si>
    <t>Contingency Draw (Material)</t>
  </si>
  <si>
    <t xml:space="preserve">10 MM  Rebar </t>
  </si>
  <si>
    <t>Contingency Draw</t>
  </si>
  <si>
    <t>concrete nail</t>
  </si>
  <si>
    <t>2 by 4 wood</t>
  </si>
  <si>
    <t>2 by 3 wood</t>
  </si>
  <si>
    <t xml:space="preserve">3 inches nail </t>
  </si>
  <si>
    <t>printing Method Statement, Drawing and JHA</t>
  </si>
  <si>
    <t>balance for cleaning of the site workshop space</t>
  </si>
  <si>
    <t>Chistle blinding cutting</t>
  </si>
  <si>
    <t xml:space="preserve">purchase of Pinches, broom, </t>
  </si>
  <si>
    <t>payment for extra 2by2 soft wood, 1.5 inch nail, sawing of the wood, and logistics.</t>
  </si>
  <si>
    <t>Polystyrene / Expansion joint material</t>
  </si>
  <si>
    <t>nails (2 inch, concrete one pack &amp; wire one pound)</t>
  </si>
  <si>
    <t>Contingency Draw (Tool)</t>
  </si>
  <si>
    <t>Trowel,plastic bucket</t>
  </si>
  <si>
    <t>Contingency Draw (PR)</t>
  </si>
  <si>
    <t>Logistics for client Supervisore.</t>
  </si>
  <si>
    <t>8mm High tension rod</t>
  </si>
  <si>
    <t>Transportation for shelter materials</t>
  </si>
  <si>
    <t xml:space="preserve">purchase of extra 8mm rod </t>
  </si>
  <si>
    <t>Additional Granite</t>
  </si>
  <si>
    <t>Contingency Draw (Transfer charges and granite loadersl)</t>
  </si>
  <si>
    <t>Transfer Service charge and granite loaders</t>
  </si>
  <si>
    <t>water for drinking</t>
  </si>
  <si>
    <t>fuel for work at home</t>
  </si>
  <si>
    <t>PR for roof procurment workers</t>
  </si>
  <si>
    <t>Transportation of roffing sheets to site</t>
  </si>
  <si>
    <t>Drilling Bits ( Metal)</t>
  </si>
  <si>
    <t>capenter payment for foundation step</t>
  </si>
  <si>
    <t>dampper materials</t>
  </si>
  <si>
    <t>concrete drilling bit (2), spanners (2), concrete expantion bolts, dampper cutting and whashing</t>
  </si>
  <si>
    <t>payment for the labour to transfer the compressor machine from the storage area to the testing area</t>
  </si>
  <si>
    <t>fix drilling bit</t>
  </si>
  <si>
    <t>TOTALS</t>
  </si>
  <si>
    <t xml:space="preserve">Total of Budget, Actual Amount Spent and the Variation </t>
  </si>
  <si>
    <t>Project Financial Control Summary</t>
  </si>
  <si>
    <t>This section links the actual expenditure back to the original budget for financial oversight.</t>
  </si>
  <si>
    <t>Financial Metric</t>
  </si>
  <si>
    <t>Total Budgeted Cost (NGN)</t>
  </si>
  <si>
    <t>Total Committed/LPO (NGN)</t>
  </si>
  <si>
    <t>Total Actual Paid (NGN)</t>
  </si>
  <si>
    <t>Variance (Budget vs. Paid) (NGN)</t>
  </si>
  <si>
    <t>% Variance</t>
  </si>
  <si>
    <t>1.0 Human Resources (H/R)</t>
  </si>
  <si>
    <t>2.0 Material Requirements</t>
  </si>
  <si>
    <t>3.0 Equipment/Tools</t>
  </si>
  <si>
    <t>4.0 Logistics</t>
  </si>
  <si>
    <t>5.0 Welfare</t>
  </si>
  <si>
    <t>6.0 Accommodation</t>
  </si>
  <si>
    <t>5.0 Contingencies (5%)</t>
  </si>
  <si>
    <t>TOTAL PROJECT COST BASE</t>
  </si>
  <si>
    <t>BUDGET FUNDS RECEIVED</t>
  </si>
  <si>
    <t>DATE</t>
  </si>
  <si>
    <t>RECEIVED FROM</t>
  </si>
  <si>
    <t>DESCRIPTION</t>
  </si>
  <si>
    <t>TYPE</t>
  </si>
  <si>
    <t>AMOUNT NGN</t>
  </si>
  <si>
    <t>Kingsley Etim</t>
  </si>
  <si>
    <t>Miscellaneouse</t>
  </si>
  <si>
    <t>Bank Transfer</t>
  </si>
  <si>
    <t>SEESL</t>
  </si>
  <si>
    <t>Material procumen</t>
  </si>
  <si>
    <t>Emeke Olumor</t>
  </si>
  <si>
    <t>Cash</t>
  </si>
  <si>
    <t>Manpower H/R</t>
  </si>
  <si>
    <t>Job completion</t>
  </si>
  <si>
    <r>
      <t xml:space="preserve">Deducted the unpaid balance of </t>
    </r>
    <r>
      <rPr>
        <b/>
        <sz val="11"/>
        <color theme="1"/>
        <rFont val="Aptos Narrow"/>
        <charset val="134"/>
        <scheme val="minor"/>
      </rPr>
      <t>N</t>
    </r>
    <r>
      <rPr>
        <sz val="11"/>
        <color theme="1"/>
        <rFont val="Aptos Narrow"/>
        <charset val="134"/>
        <scheme val="minor"/>
      </rPr>
      <t xml:space="preserve">86,000 from the returned Angle Irons from the paid in </t>
    </r>
    <r>
      <rPr>
        <b/>
        <sz val="11"/>
        <color theme="1"/>
        <rFont val="Aptos Narrow"/>
        <charset val="134"/>
        <scheme val="minor"/>
      </rPr>
      <t>N</t>
    </r>
    <r>
      <rPr>
        <sz val="11"/>
        <color theme="1"/>
        <rFont val="Aptos Narrow"/>
        <charset val="134"/>
        <scheme val="minor"/>
      </rPr>
      <t>500,000 sent.</t>
    </r>
  </si>
  <si>
    <t>TOTAL MONEY RECIVED</t>
  </si>
  <si>
    <t>TOTAL DEPT</t>
  </si>
  <si>
    <t>TOTAL MONEY SPENT (minus total not paid)</t>
  </si>
  <si>
    <t>ACCOUNT BALANCE</t>
  </si>
  <si>
    <t>Guide to Using the Expense Tracker</t>
  </si>
  <si>
    <r>
      <rPr>
        <b/>
        <sz val="10"/>
        <color theme="0"/>
        <rFont val="Inter"/>
        <charset val="134"/>
      </rPr>
      <t>1. WBS Category:</t>
    </r>
    <r>
      <rPr>
        <sz val="10"/>
        <color theme="0"/>
        <rFont val="Inter"/>
        <charset val="134"/>
      </rPr>
      <t> Use the official categories from the budget (H/R, Material, Equipment, Logistics, Welfare, Contingency).</t>
    </r>
  </si>
  <si>
    <r>
      <rPr>
        <b/>
        <sz val="10"/>
        <color theme="0"/>
        <rFont val="Inter"/>
        <charset val="134"/>
      </rPr>
      <t>2. Budgeted Total Cost (NGN):</t>
    </r>
    <r>
      <rPr>
        <sz val="10"/>
        <color theme="0"/>
        <rFont val="Inter"/>
        <charset val="134"/>
      </rPr>
      <t> This is the total planned expenditure for the </t>
    </r>
    <r>
      <rPr>
        <i/>
        <sz val="10"/>
        <color theme="0"/>
        <rFont val="Inter"/>
        <charset val="134"/>
      </rPr>
      <t>entire WBS line</t>
    </r>
    <r>
      <rPr>
        <sz val="10"/>
        <color theme="0"/>
        <rFont val="Inter"/>
        <charset val="134"/>
      </rPr>
      <t> (e.g., the total NGN 3,240,000 for H/R), copied from the comprehensive budget. This allows quick comparison.</t>
    </r>
  </si>
  <si>
    <r>
      <rPr>
        <b/>
        <sz val="10"/>
        <color theme="0"/>
        <rFont val="Inter"/>
        <charset val="134"/>
      </rPr>
      <t>3. Actual Unit Cost &amp; Quantity:</t>
    </r>
    <r>
      <rPr>
        <sz val="10"/>
        <color theme="0"/>
        <rFont val="Inter"/>
        <charset val="134"/>
      </rPr>
      <t> Record the </t>
    </r>
    <r>
      <rPr>
        <i/>
        <sz val="10"/>
        <color theme="0"/>
        <rFont val="Inter"/>
        <charset val="134"/>
      </rPr>
      <t>exact</t>
    </r>
    <r>
      <rPr>
        <sz val="10"/>
        <color theme="0"/>
        <rFont val="Inter"/>
        <charset val="134"/>
      </rPr>
      <t> unit cost and quantity you paid for (e.g., N6,200 per bag for 32 bags of cement).</t>
    </r>
  </si>
  <si>
    <r>
      <rPr>
        <b/>
        <sz val="10"/>
        <color theme="0"/>
        <rFont val="Inter"/>
        <charset val="134"/>
      </rPr>
      <t>4. Commitment/LPO Amount (NGN):</t>
    </r>
    <r>
      <rPr>
        <sz val="10"/>
        <color theme="0"/>
        <rFont val="Inter"/>
        <charset val="134"/>
      </rPr>
      <t> This is the value of any </t>
    </r>
    <r>
      <rPr>
        <i/>
        <sz val="10"/>
        <color theme="0"/>
        <rFont val="Inter"/>
        <charset val="134"/>
      </rPr>
      <t>Legally Committed</t>
    </r>
    <r>
      <rPr>
        <sz val="10"/>
        <color theme="0"/>
        <rFont val="Inter"/>
        <charset val="134"/>
      </rPr>
      <t> spending (e.g., a Local Purchase Order/Contract) that has been issued but </t>
    </r>
    <r>
      <rPr>
        <b/>
        <sz val="10"/>
        <color theme="0"/>
        <rFont val="Inter"/>
        <charset val="134"/>
      </rPr>
      <t>not yet paid</t>
    </r>
    <r>
      <rPr>
        <sz val="10"/>
        <color theme="0"/>
        <rFont val="Inter"/>
        <charset val="134"/>
      </rPr>
      <t>. This is crucial for managing cash flow.</t>
    </r>
  </si>
  <si>
    <r>
      <rPr>
        <b/>
        <sz val="10"/>
        <color theme="0"/>
        <rFont val="Inter"/>
        <charset val="134"/>
      </rPr>
      <t>5. Actual Paid Amount (NGN):</t>
    </r>
    <r>
      <rPr>
        <sz val="10"/>
        <color theme="0"/>
        <rFont val="Inter"/>
        <charset val="134"/>
      </rPr>
      <t> The money that has left the company's account.</t>
    </r>
  </si>
  <si>
    <r>
      <rPr>
        <b/>
        <sz val="10"/>
        <color theme="0"/>
        <rFont val="Inter"/>
        <charset val="134"/>
      </rPr>
      <t>6. Cost Variance (NGN):</t>
    </r>
    <r>
      <rPr>
        <sz val="10"/>
        <color theme="0"/>
        <rFont val="Inter"/>
        <charset val="134"/>
      </rPr>
      <t> This is the most important column for control. It is calculated as: </t>
    </r>
    <r>
      <rPr>
        <b/>
        <sz val="10"/>
        <color theme="0"/>
        <rFont val="Inter"/>
        <charset val="134"/>
      </rPr>
      <t>(Budgeted Cost of Item) - (Actual Cost of Item)</t>
    </r>
    <r>
      <rPr>
        <sz val="10"/>
        <color theme="0"/>
        <rFont val="Inter"/>
        <charset val="134"/>
      </rPr>
      <t>.</t>
    </r>
  </si>
  <si>
    <r>
      <rPr>
        <sz val="10"/>
        <color theme="0"/>
        <rFont val="Inter"/>
        <charset val="134"/>
      </rPr>
      <t>For new, unforeseen expenses (like the flat tire repair), the </t>
    </r>
    <r>
      <rPr>
        <sz val="10"/>
        <color theme="0"/>
        <rFont val="Courier New"/>
        <charset val="134"/>
      </rPr>
      <t>Budgeted Total Cost</t>
    </r>
    <r>
      <rPr>
        <sz val="10"/>
        <color theme="0"/>
        <rFont val="Inter"/>
        <charset val="134"/>
      </rPr>
      <t> column remains blank or is noted as "Unbudgeted."</t>
    </r>
  </si>
  <si>
    <t>The variance for these items will be highly negative (equal to the total paid amount).</t>
  </si>
  <si>
    <r>
      <rPr>
        <sz val="10"/>
        <color theme="0"/>
        <rFont val="Inter"/>
        <charset val="134"/>
      </rPr>
      <t>These items </t>
    </r>
    <r>
      <rPr>
        <b/>
        <sz val="10"/>
        <color theme="0"/>
        <rFont val="Inter"/>
        <charset val="134"/>
      </rPr>
      <t>must</t>
    </r>
    <r>
      <rPr>
        <sz val="10"/>
        <color theme="0"/>
        <rFont val="Inter"/>
        <charset val="134"/>
      </rPr>
      <t> be funded by drawing down from the </t>
    </r>
    <r>
      <rPr>
        <b/>
        <sz val="10"/>
        <color theme="0"/>
        <rFont val="Inter"/>
        <charset val="134"/>
      </rPr>
      <t>Contingencies</t>
    </r>
    <r>
      <rPr>
        <sz val="10"/>
        <color theme="0"/>
        <rFont val="Inter"/>
        <charset val="134"/>
      </rPr>
      <t> budget (Row 6.1). You record the total amount transferred from Contingency to cover these unbudgeted costs.</t>
    </r>
  </si>
  <si>
    <t>Key Control Notes:</t>
  </si>
  <si>
    <r>
      <rPr>
        <b/>
        <sz val="9"/>
        <color theme="0"/>
        <rFont val="Inter"/>
        <charset val="134"/>
      </rPr>
      <t>1. Commitment Tracking:</t>
    </r>
    <r>
      <rPr>
        <sz val="9"/>
        <color theme="0"/>
        <rFont val="Inter"/>
        <charset val="134"/>
      </rPr>
      <t> The </t>
    </r>
    <r>
      <rPr>
        <sz val="9"/>
        <color theme="0"/>
        <rFont val="Courier New"/>
        <charset val="134"/>
      </rPr>
      <t>Commitment/LPO Amount</t>
    </r>
    <r>
      <rPr>
        <sz val="9"/>
        <color theme="0"/>
        <rFont val="Inter"/>
        <charset val="134"/>
      </rPr>
      <t> column is crucial for tracking potential liabilities (money </t>
    </r>
    <r>
      <rPr>
        <i/>
        <sz val="9"/>
        <color theme="0"/>
        <rFont val="Inter"/>
        <charset val="134"/>
      </rPr>
      <t>promised</t>
    </r>
    <r>
      <rPr>
        <sz val="9"/>
        <color theme="0"/>
        <rFont val="Inter"/>
        <charset val="134"/>
      </rPr>
      <t> but not yet paid), preventing unauthorized overspending before actual payment.</t>
    </r>
  </si>
  <si>
    <r>
      <rPr>
        <b/>
        <sz val="9"/>
        <color theme="0"/>
        <rFont val="Inter"/>
        <charset val="134"/>
      </rPr>
      <t>2. Variance Analysis:</t>
    </r>
    <r>
      <rPr>
        <sz val="9"/>
        <color theme="0"/>
        <rFont val="Inter"/>
        <charset val="134"/>
      </rPr>
      <t> A negative variance indicates an overrun (e.g., buying cement for N6,200 instead of the budgeted N6,000). A positive variance indicates a saving.</t>
    </r>
  </si>
  <si>
    <r>
      <rPr>
        <b/>
        <sz val="9"/>
        <color theme="0"/>
        <rFont val="Inter"/>
        <charset val="134"/>
      </rPr>
      <t>3. Contingency Management:</t>
    </r>
    <r>
      <rPr>
        <sz val="9"/>
        <color theme="0"/>
        <rFont val="Inter"/>
        <charset val="134"/>
      </rPr>
      <t> All variances exceeding 10% on a WBS category should be noted and reported to management. Any draw-down from the </t>
    </r>
    <r>
      <rPr>
        <b/>
        <sz val="9"/>
        <color theme="0"/>
        <rFont val="Inter"/>
        <charset val="134"/>
      </rPr>
      <t>Contingencies</t>
    </r>
    <r>
      <rPr>
        <sz val="9"/>
        <color theme="0"/>
        <rFont val="Inter"/>
        <charset val="134"/>
      </rPr>
      <t> budget must be formally approved and logged as an expense against the Contingency line.</t>
    </r>
  </si>
  <si>
    <t>cable lugs 35mm &amp; 50mm, cable glands</t>
  </si>
  <si>
    <t>Bolts and clamp for pipe intergrity</t>
  </si>
  <si>
    <t>Hole Bit &amp; cup</t>
  </si>
  <si>
    <t>carrot stone stenless</t>
  </si>
  <si>
    <t>Grinding stone</t>
  </si>
  <si>
    <t>square</t>
  </si>
  <si>
    <t>cutting disc metal</t>
  </si>
  <si>
    <t>Transfer of compressor into the Shelter</t>
  </si>
  <si>
    <t>vehicle Maintainance</t>
  </si>
  <si>
    <t>vehicle Maintainance ( Car Oil)</t>
  </si>
  <si>
    <t>Receipt-Fuel-024</t>
  </si>
  <si>
    <t>Receipt-Fuel-025</t>
  </si>
  <si>
    <t>Receipt-Fuel-026</t>
  </si>
  <si>
    <t>Receipt-Fuel-027</t>
  </si>
  <si>
    <t>Receipt-Fuel-028</t>
  </si>
  <si>
    <t>Dept payment</t>
  </si>
  <si>
    <t>Bank Transfer TO Olumor</t>
  </si>
  <si>
    <t>12/8/2025,12/09/2025, 12/10/2025</t>
  </si>
  <si>
    <t>crimping tool hirering</t>
  </si>
  <si>
    <t>payment for treading of pipe and hiring of trading tool</t>
  </si>
  <si>
    <t>hHose, clip and paint brush</t>
  </si>
  <si>
    <t>Local Transport fairs (Staff daily shuttle)&amp; transport for crimping tool</t>
  </si>
  <si>
    <t>5.1.31</t>
  </si>
  <si>
    <t>5.1.32</t>
  </si>
  <si>
    <t>5.1.33</t>
  </si>
  <si>
    <t>5.1.34</t>
  </si>
  <si>
    <t>5.1.35</t>
  </si>
  <si>
    <t>5.1.36</t>
  </si>
  <si>
    <t>5.1.37</t>
  </si>
  <si>
    <t>5.1.38</t>
  </si>
  <si>
    <t>Paid</t>
  </si>
  <si>
    <t>PAID</t>
  </si>
  <si>
    <t>DEPOSITED CHEQUE (cleared)</t>
  </si>
  <si>
    <t>DEPOSITED CHEQUE ( cleared)</t>
  </si>
  <si>
    <t xml:space="preserve"> PAID</t>
  </si>
  <si>
    <t>DEPOSITED CHEQUE ( cleared )</t>
  </si>
  <si>
    <t>11/12/2025, 11/13/2025, 11/14/2025, 11/15/2025, 11/17/2025, 11/19/2025, 11/20/2025,  11/21/2025, 11/24/2025, 11/25/2025, 11/28/2025, 11/29/2025, 12/02/2025, 12/04/2024, 12/06/2025, 12/8/2025,12/9/2025,12/10/2025, 12/11/2025, 12/12/2025</t>
  </si>
  <si>
    <t>public Relations: Safty, Security, Armed Security</t>
  </si>
  <si>
    <t xml:space="preserve"> </t>
  </si>
  <si>
    <t>PR</t>
  </si>
  <si>
    <t>public Relations: Plant Mgr And Plant Supervisor</t>
  </si>
  <si>
    <t>Helper / Labourer (Daily payment)</t>
  </si>
  <si>
    <t>4.1.24</t>
  </si>
  <si>
    <t>4.1.25</t>
  </si>
  <si>
    <t>4.1.26</t>
  </si>
  <si>
    <t>4.1.27</t>
  </si>
  <si>
    <t>4.1.28</t>
  </si>
  <si>
    <t>4.1.29</t>
  </si>
  <si>
    <t>bank charges and pos withdrawal charges</t>
  </si>
  <si>
    <t>4.1.2.7</t>
  </si>
  <si>
    <t>4.1.2.8</t>
  </si>
  <si>
    <t>4.2.11</t>
  </si>
  <si>
    <t>4.2.12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</si>
</sst>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5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color theme="0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8"/>
      <color theme="1"/>
      <name val="Inter"/>
      <charset val="134"/>
    </font>
    <font>
      <b/>
      <sz val="9"/>
      <color theme="0"/>
      <name val="Inter"/>
      <charset val="134"/>
    </font>
    <font>
      <sz val="7"/>
      <color theme="0"/>
      <name val="Inter"/>
      <charset val="134"/>
    </font>
    <font>
      <b/>
      <sz val="10"/>
      <color theme="0"/>
      <name val="Inter"/>
      <charset val="134"/>
    </font>
    <font>
      <sz val="7"/>
      <color theme="1"/>
      <name val="Inter"/>
      <charset val="134"/>
    </font>
    <font>
      <sz val="7"/>
      <color theme="1"/>
      <name val="Calibri"/>
      <charset val="134"/>
    </font>
    <font>
      <b/>
      <sz val="11"/>
      <color theme="0"/>
      <name val="Inter"/>
      <charset val="134"/>
    </font>
    <font>
      <b/>
      <sz val="14"/>
      <color theme="0"/>
      <name val="Calibri"/>
      <charset val="134"/>
    </font>
    <font>
      <b/>
      <sz val="11"/>
      <color theme="0"/>
      <name val="Calibri"/>
      <charset val="134"/>
    </font>
    <font>
      <b/>
      <sz val="7"/>
      <color rgb="FFFF0000"/>
      <name val="Inter"/>
      <charset val="134"/>
    </font>
    <font>
      <b/>
      <sz val="10"/>
      <color theme="1"/>
      <name val="Inter"/>
      <charset val="134"/>
    </font>
    <font>
      <b/>
      <sz val="9"/>
      <color theme="1"/>
      <name val="Inter"/>
      <charset val="134"/>
    </font>
    <font>
      <b/>
      <sz val="9"/>
      <color theme="1"/>
      <name val="Calibri"/>
      <charset val="134"/>
    </font>
    <font>
      <sz val="10"/>
      <color theme="0"/>
      <name val="Calibri"/>
      <charset val="134"/>
    </font>
    <font>
      <sz val="10"/>
      <color theme="0"/>
      <name val="Inter"/>
      <charset val="134"/>
    </font>
    <font>
      <b/>
      <sz val="7"/>
      <color theme="1"/>
      <name val="Inter"/>
      <charset val="134"/>
    </font>
    <font>
      <b/>
      <sz val="10"/>
      <color theme="0"/>
      <name val="Calibri"/>
      <charset val="134"/>
    </font>
    <font>
      <b/>
      <sz val="12"/>
      <color theme="0"/>
      <name val="Calibri"/>
      <charset val="134"/>
    </font>
    <font>
      <b/>
      <sz val="7"/>
      <color theme="0"/>
      <name val="Inter"/>
      <charset val="134"/>
    </font>
    <font>
      <sz val="9"/>
      <color theme="0"/>
      <name val="Inter"/>
      <charset val="134"/>
    </font>
    <font>
      <b/>
      <sz val="8"/>
      <color theme="0"/>
      <name val="Inter"/>
      <charset val="134"/>
    </font>
    <font>
      <b/>
      <sz val="20"/>
      <color theme="1"/>
      <name val="Inter"/>
      <charset val="134"/>
    </font>
    <font>
      <b/>
      <sz val="14"/>
      <color theme="0"/>
      <name val="Inter"/>
      <charset val="134"/>
    </font>
    <font>
      <sz val="14"/>
      <color theme="1"/>
      <name val="Inter"/>
      <charset val="134"/>
    </font>
    <font>
      <b/>
      <sz val="10"/>
      <color theme="0"/>
      <name val="Aptos Narrow"/>
      <charset val="134"/>
      <scheme val="minor"/>
    </font>
    <font>
      <i/>
      <sz val="9"/>
      <color theme="0"/>
      <name val="Inter"/>
      <charset val="134"/>
    </font>
    <font>
      <i/>
      <sz val="7"/>
      <color theme="0"/>
      <name val="Inter"/>
      <charset val="134"/>
    </font>
    <font>
      <sz val="10"/>
      <color theme="0"/>
      <name val="Aptos Narrow"/>
      <charset val="134"/>
      <scheme val="minor"/>
    </font>
    <font>
      <b/>
      <sz val="18"/>
      <color theme="0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b/>
      <sz val="16"/>
      <color theme="0"/>
      <name val="Aptos Narrow"/>
      <charset val="134"/>
      <scheme val="minor"/>
    </font>
    <font>
      <b/>
      <sz val="16"/>
      <color rgb="FFFF0000"/>
      <name val="Aptos Narrow"/>
      <charset val="134"/>
      <scheme val="minor"/>
    </font>
    <font>
      <b/>
      <sz val="16"/>
      <color theme="9"/>
      <name val="Aptos Narrow"/>
      <charset val="134"/>
      <scheme val="minor"/>
    </font>
    <font>
      <b/>
      <sz val="14"/>
      <color theme="1"/>
      <name val="Inter"/>
      <charset val="134"/>
    </font>
    <font>
      <b/>
      <sz val="13.5"/>
      <color theme="1"/>
      <name val="Inter"/>
      <charset val="134"/>
    </font>
    <font>
      <sz val="11"/>
      <color theme="1"/>
      <name val="Aptos Narrow"/>
      <charset val="134"/>
      <scheme val="minor"/>
    </font>
    <font>
      <i/>
      <sz val="10"/>
      <color theme="0"/>
      <name val="Inter"/>
      <charset val="134"/>
    </font>
    <font>
      <sz val="9"/>
      <color theme="0"/>
      <name val="Courier New"/>
      <charset val="134"/>
    </font>
    <font>
      <sz val="10"/>
      <color theme="0"/>
      <name val="Courier New"/>
      <charset val="134"/>
    </font>
    <font>
      <sz val="8"/>
      <name val="Aptos Narrow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121B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5E5304"/>
        <bgColor indexed="64"/>
      </patternFill>
    </fill>
    <fill>
      <patternFill patternType="solid">
        <fgColor rgb="FF979406"/>
        <bgColor indexed="64"/>
      </patternFill>
    </fill>
    <fill>
      <patternFill patternType="solid">
        <fgColor rgb="FFCACA08"/>
        <bgColor indexed="64"/>
      </patternFill>
    </fill>
    <fill>
      <patternFill patternType="solid">
        <fgColor rgb="FF54184E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0"/>
      </bottom>
      <diagonal/>
    </border>
  </borders>
  <cellStyleXfs count="3">
    <xf numFmtId="0" fontId="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</cellStyleXfs>
  <cellXfs count="374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0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4" borderId="1" xfId="0" applyFill="1" applyBorder="1"/>
    <xf numFmtId="0" fontId="2" fillId="0" borderId="0" xfId="0" applyFont="1"/>
    <xf numFmtId="0" fontId="0" fillId="0" borderId="0" xfId="0" applyFill="1" applyBorder="1"/>
    <xf numFmtId="0" fontId="3" fillId="3" borderId="0" xfId="0" applyFont="1" applyFill="1"/>
    <xf numFmtId="0" fontId="4" fillId="0" borderId="0" xfId="0" applyFont="1"/>
    <xf numFmtId="0" fontId="4" fillId="0" borderId="0" xfId="0" applyFont="1" applyFill="1" applyBorder="1"/>
    <xf numFmtId="0" fontId="0" fillId="0" borderId="0" xfId="0" applyFont="1"/>
    <xf numFmtId="0" fontId="0" fillId="0" borderId="0" xfId="0" applyFill="1" applyAlignment="1">
      <alignment horizontal="left"/>
    </xf>
    <xf numFmtId="0" fontId="8" fillId="7" borderId="2" xfId="0" applyFont="1" applyFill="1" applyBorder="1" applyAlignment="1">
      <alignment horizontal="left" vertical="center" wrapText="1" indent="1"/>
    </xf>
    <xf numFmtId="0" fontId="8" fillId="7" borderId="3" xfId="0" applyFont="1" applyFill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left" vertical="center" wrapText="1" indent="1"/>
    </xf>
    <xf numFmtId="0" fontId="8" fillId="2" borderId="3" xfId="0" applyFont="1" applyFill="1" applyBorder="1" applyAlignment="1">
      <alignment horizontal="left" vertical="center" wrapText="1" indent="1"/>
    </xf>
    <xf numFmtId="3" fontId="8" fillId="2" borderId="3" xfId="0" applyNumberFormat="1" applyFont="1" applyFill="1" applyBorder="1" applyAlignment="1">
      <alignment horizontal="left" vertical="center" wrapText="1" indent="1"/>
    </xf>
    <xf numFmtId="0" fontId="9" fillId="8" borderId="4" xfId="0" applyFont="1" applyFill="1" applyBorder="1" applyAlignment="1">
      <alignment horizontal="left" vertical="center" wrapText="1" indent="1"/>
    </xf>
    <xf numFmtId="14" fontId="9" fillId="8" borderId="5" xfId="0" applyNumberFormat="1" applyFont="1" applyFill="1" applyBorder="1" applyAlignment="1">
      <alignment horizontal="left" vertical="center" wrapText="1" indent="1"/>
    </xf>
    <xf numFmtId="0" fontId="9" fillId="8" borderId="5" xfId="0" applyFont="1" applyFill="1" applyBorder="1" applyAlignment="1">
      <alignment horizontal="left" vertical="center" wrapText="1" indent="1"/>
    </xf>
    <xf numFmtId="3" fontId="10" fillId="8" borderId="5" xfId="0" applyNumberFormat="1" applyFont="1" applyFill="1" applyBorder="1" applyAlignment="1">
      <alignment horizontal="left" vertical="center" wrapText="1" indent="1"/>
    </xf>
    <xf numFmtId="0" fontId="10" fillId="8" borderId="6" xfId="0" applyFont="1" applyFill="1" applyBorder="1" applyAlignment="1">
      <alignment horizontal="left" vertical="center" wrapText="1" indent="1"/>
    </xf>
    <xf numFmtId="14" fontId="9" fillId="8" borderId="1" xfId="0" applyNumberFormat="1" applyFont="1" applyFill="1" applyBorder="1" applyAlignment="1">
      <alignment horizontal="left" vertical="center" wrapText="1" indent="1"/>
    </xf>
    <xf numFmtId="0" fontId="9" fillId="8" borderId="1" xfId="0" applyFont="1" applyFill="1" applyBorder="1" applyAlignment="1">
      <alignment horizontal="left" vertical="center" wrapText="1" indent="1"/>
    </xf>
    <xf numFmtId="0" fontId="10" fillId="8" borderId="1" xfId="0" applyFont="1" applyFill="1" applyBorder="1" applyAlignment="1">
      <alignment horizontal="left" vertical="center" wrapText="1" indent="1"/>
    </xf>
    <xf numFmtId="3" fontId="10" fillId="8" borderId="1" xfId="0" applyNumberFormat="1" applyFont="1" applyFill="1" applyBorder="1" applyAlignment="1">
      <alignment horizontal="left" vertical="center" wrapText="1" indent="1"/>
    </xf>
    <xf numFmtId="0" fontId="9" fillId="8" borderId="7" xfId="0" applyFont="1" applyFill="1" applyBorder="1" applyAlignment="1">
      <alignment horizontal="left" vertical="center" wrapText="1" indent="1"/>
    </xf>
    <xf numFmtId="14" fontId="9" fillId="8" borderId="8" xfId="0" applyNumberFormat="1" applyFont="1" applyFill="1" applyBorder="1" applyAlignment="1">
      <alignment horizontal="left" vertical="center" wrapText="1" indent="1"/>
    </xf>
    <xf numFmtId="0" fontId="9" fillId="8" borderId="8" xfId="0" applyFont="1" applyFill="1" applyBorder="1" applyAlignment="1">
      <alignment horizontal="left" vertical="center" wrapText="1" indent="1"/>
    </xf>
    <xf numFmtId="0" fontId="10" fillId="8" borderId="8" xfId="0" applyFont="1" applyFill="1" applyBorder="1" applyAlignment="1">
      <alignment horizontal="left" vertical="center" wrapText="1" indent="1"/>
    </xf>
    <xf numFmtId="3" fontId="10" fillId="8" borderId="8" xfId="0" applyNumberFormat="1" applyFont="1" applyFill="1" applyBorder="1" applyAlignment="1">
      <alignment horizontal="left" vertical="center" wrapText="1" indent="1"/>
    </xf>
    <xf numFmtId="43" fontId="12" fillId="2" borderId="10" xfId="1" applyFont="1" applyFill="1" applyBorder="1" applyAlignment="1">
      <alignment horizontal="left" vertical="center" wrapText="1" indent="1"/>
    </xf>
    <xf numFmtId="0" fontId="11" fillId="2" borderId="10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14" fontId="11" fillId="0" borderId="0" xfId="0" applyNumberFormat="1" applyFont="1" applyFill="1" applyBorder="1" applyAlignment="1">
      <alignment horizontal="left" vertical="center" wrapText="1" indent="1"/>
    </xf>
    <xf numFmtId="0" fontId="13" fillId="0" borderId="0" xfId="0" applyFont="1" applyFill="1" applyBorder="1" applyAlignment="1">
      <alignment horizontal="left" vertical="center" wrapText="1" indent="1"/>
    </xf>
    <xf numFmtId="3" fontId="13" fillId="0" borderId="0" xfId="0" applyNumberFormat="1" applyFont="1" applyFill="1" applyBorder="1" applyAlignment="1">
      <alignment horizontal="left" vertical="center" wrapText="1" indent="1"/>
    </xf>
    <xf numFmtId="0" fontId="8" fillId="3" borderId="10" xfId="0" applyFont="1" applyFill="1" applyBorder="1" applyAlignment="1">
      <alignment horizontal="left" vertical="center" wrapText="1" indent="1"/>
    </xf>
    <xf numFmtId="3" fontId="8" fillId="3" borderId="10" xfId="0" applyNumberFormat="1" applyFont="1" applyFill="1" applyBorder="1" applyAlignment="1">
      <alignment horizontal="left" vertical="center" wrapText="1" indent="1"/>
    </xf>
    <xf numFmtId="0" fontId="9" fillId="9" borderId="4" xfId="0" applyFont="1" applyFill="1" applyBorder="1" applyAlignment="1">
      <alignment horizontal="left" vertical="center" wrapText="1" indent="1"/>
    </xf>
    <xf numFmtId="14" fontId="9" fillId="9" borderId="5" xfId="0" applyNumberFormat="1" applyFont="1" applyFill="1" applyBorder="1" applyAlignment="1">
      <alignment horizontal="left" vertical="center" wrapText="1" indent="1"/>
    </xf>
    <xf numFmtId="0" fontId="9" fillId="9" borderId="5" xfId="0" applyFont="1" applyFill="1" applyBorder="1" applyAlignment="1">
      <alignment horizontal="left" vertical="center" wrapText="1" indent="1"/>
    </xf>
    <xf numFmtId="3" fontId="9" fillId="9" borderId="5" xfId="0" applyNumberFormat="1" applyFont="1" applyFill="1" applyBorder="1" applyAlignment="1">
      <alignment horizontal="left" vertical="center" wrapText="1" indent="1"/>
    </xf>
    <xf numFmtId="3" fontId="10" fillId="9" borderId="1" xfId="0" applyNumberFormat="1" applyFont="1" applyFill="1" applyBorder="1" applyAlignment="1">
      <alignment horizontal="left" vertical="center" wrapText="1" indent="1"/>
    </xf>
    <xf numFmtId="0" fontId="10" fillId="9" borderId="1" xfId="0" applyFont="1" applyFill="1" applyBorder="1" applyAlignment="1">
      <alignment horizontal="left" vertical="center" wrapText="1" indent="1"/>
    </xf>
    <xf numFmtId="3" fontId="14" fillId="9" borderId="5" xfId="0" applyNumberFormat="1" applyFont="1" applyFill="1" applyBorder="1" applyAlignment="1">
      <alignment horizontal="left" vertical="center" wrapText="1" indent="1"/>
    </xf>
    <xf numFmtId="0" fontId="10" fillId="9" borderId="6" xfId="0" applyFont="1" applyFill="1" applyBorder="1" applyAlignment="1">
      <alignment horizontal="left" vertical="center" wrapText="1" indent="1"/>
    </xf>
    <xf numFmtId="14" fontId="9" fillId="9" borderId="1" xfId="0" applyNumberFormat="1" applyFont="1" applyFill="1" applyBorder="1" applyAlignment="1">
      <alignment horizontal="left" vertical="center" wrapText="1" indent="1"/>
    </xf>
    <xf numFmtId="0" fontId="9" fillId="9" borderId="1" xfId="0" applyFont="1" applyFill="1" applyBorder="1" applyAlignment="1">
      <alignment horizontal="left" vertical="center" wrapText="1" indent="1"/>
    </xf>
    <xf numFmtId="3" fontId="9" fillId="9" borderId="3" xfId="0" applyNumberFormat="1" applyFont="1" applyFill="1" applyBorder="1" applyAlignment="1">
      <alignment horizontal="left" vertical="center" wrapText="1" indent="1"/>
    </xf>
    <xf numFmtId="3" fontId="9" fillId="9" borderId="1" xfId="0" applyNumberFormat="1" applyFont="1" applyFill="1" applyBorder="1" applyAlignment="1">
      <alignment horizontal="left" vertical="center" wrapText="1" indent="1"/>
    </xf>
    <xf numFmtId="0" fontId="10" fillId="9" borderId="8" xfId="0" applyFont="1" applyFill="1" applyBorder="1" applyAlignment="1">
      <alignment horizontal="left" vertical="center" wrapText="1" indent="1"/>
    </xf>
    <xf numFmtId="3" fontId="9" fillId="9" borderId="8" xfId="0" applyNumberFormat="1" applyFont="1" applyFill="1" applyBorder="1" applyAlignment="1">
      <alignment horizontal="left" vertical="center" wrapText="1" indent="1"/>
    </xf>
    <xf numFmtId="3" fontId="10" fillId="9" borderId="8" xfId="0" applyNumberFormat="1" applyFont="1" applyFill="1" applyBorder="1" applyAlignment="1">
      <alignment horizontal="left" vertical="center" wrapText="1" indent="1"/>
    </xf>
    <xf numFmtId="0" fontId="9" fillId="9" borderId="11" xfId="0" applyFont="1" applyFill="1" applyBorder="1" applyAlignment="1">
      <alignment horizontal="left" vertical="center" wrapText="1" indent="1"/>
    </xf>
    <xf numFmtId="0" fontId="10" fillId="10" borderId="4" xfId="0" applyFont="1" applyFill="1" applyBorder="1" applyAlignment="1">
      <alignment horizontal="left" vertical="center" wrapText="1" indent="1"/>
    </xf>
    <xf numFmtId="3" fontId="9" fillId="10" borderId="5" xfId="0" applyNumberFormat="1" applyFont="1" applyFill="1" applyBorder="1" applyAlignment="1">
      <alignment horizontal="left" vertical="center" wrapText="1" indent="1"/>
    </xf>
    <xf numFmtId="0" fontId="10" fillId="10" borderId="5" xfId="0" applyFont="1" applyFill="1" applyBorder="1" applyAlignment="1">
      <alignment horizontal="left" vertical="center" wrapText="1" indent="1"/>
    </xf>
    <xf numFmtId="0" fontId="10" fillId="10" borderId="6" xfId="0" applyFont="1" applyFill="1" applyBorder="1" applyAlignment="1">
      <alignment horizontal="left" vertical="center" wrapText="1" indent="1"/>
    </xf>
    <xf numFmtId="3" fontId="9" fillId="10" borderId="1" xfId="0" applyNumberFormat="1" applyFont="1" applyFill="1" applyBorder="1" applyAlignment="1">
      <alignment horizontal="left" vertical="center" wrapText="1" indent="1"/>
    </xf>
    <xf numFmtId="0" fontId="10" fillId="10" borderId="1" xfId="0" applyFont="1" applyFill="1" applyBorder="1" applyAlignment="1">
      <alignment horizontal="left" vertical="center" wrapText="1" indent="1"/>
    </xf>
    <xf numFmtId="0" fontId="10" fillId="10" borderId="12" xfId="0" applyFont="1" applyFill="1" applyBorder="1" applyAlignment="1">
      <alignment horizontal="left" vertical="center" wrapText="1" indent="1"/>
    </xf>
    <xf numFmtId="3" fontId="15" fillId="10" borderId="13" xfId="0" applyNumberFormat="1" applyFont="1" applyFill="1" applyBorder="1" applyAlignment="1">
      <alignment horizontal="left" vertical="center" wrapText="1" indent="1"/>
    </xf>
    <xf numFmtId="3" fontId="10" fillId="10" borderId="13" xfId="0" applyNumberFormat="1" applyFont="1" applyFill="1" applyBorder="1" applyAlignment="1">
      <alignment horizontal="left" vertical="center" wrapText="1" indent="1"/>
    </xf>
    <xf numFmtId="0" fontId="10" fillId="10" borderId="13" xfId="0" applyFont="1" applyFill="1" applyBorder="1" applyAlignment="1">
      <alignment horizontal="left" vertical="center" wrapText="1" indent="1"/>
    </xf>
    <xf numFmtId="3" fontId="14" fillId="10" borderId="13" xfId="0" applyNumberFormat="1" applyFont="1" applyFill="1" applyBorder="1" applyAlignment="1">
      <alignment horizontal="left" vertical="center" wrapText="1" indent="1"/>
    </xf>
    <xf numFmtId="0" fontId="10" fillId="9" borderId="14" xfId="0" applyFont="1" applyFill="1" applyBorder="1" applyAlignment="1">
      <alignment horizontal="left" vertical="center" wrapText="1" indent="1"/>
    </xf>
    <xf numFmtId="3" fontId="9" fillId="9" borderId="14" xfId="0" applyNumberFormat="1" applyFont="1" applyFill="1" applyBorder="1" applyAlignment="1">
      <alignment horizontal="left" vertical="center" wrapText="1" indent="1"/>
    </xf>
    <xf numFmtId="3" fontId="10" fillId="9" borderId="14" xfId="0" applyNumberFormat="1" applyFont="1" applyFill="1" applyBorder="1" applyAlignment="1">
      <alignment horizontal="left" vertical="center" wrapText="1" indent="1"/>
    </xf>
    <xf numFmtId="3" fontId="14" fillId="9" borderId="14" xfId="0" applyNumberFormat="1" applyFont="1" applyFill="1" applyBorder="1" applyAlignment="1">
      <alignment horizontal="left" vertical="center" wrapText="1" indent="1"/>
    </xf>
    <xf numFmtId="0" fontId="9" fillId="11" borderId="1" xfId="0" applyFont="1" applyFill="1" applyBorder="1" applyAlignment="1">
      <alignment horizontal="left" vertical="center" wrapText="1" indent="1"/>
    </xf>
    <xf numFmtId="0" fontId="10" fillId="11" borderId="1" xfId="0" applyFont="1" applyFill="1" applyBorder="1" applyAlignment="1">
      <alignment horizontal="left" vertical="center" wrapText="1" indent="1"/>
    </xf>
    <xf numFmtId="3" fontId="9" fillId="11" borderId="5" xfId="0" applyNumberFormat="1" applyFont="1" applyFill="1" applyBorder="1" applyAlignment="1">
      <alignment horizontal="left" vertical="center" wrapText="1" indent="1"/>
    </xf>
    <xf numFmtId="3" fontId="10" fillId="11" borderId="1" xfId="0" applyNumberFormat="1" applyFont="1" applyFill="1" applyBorder="1" applyAlignment="1">
      <alignment horizontal="left" vertical="center" wrapText="1" indent="1"/>
    </xf>
    <xf numFmtId="3" fontId="9" fillId="11" borderId="1" xfId="0" applyNumberFormat="1" applyFont="1" applyFill="1" applyBorder="1" applyAlignment="1">
      <alignment horizontal="left" vertical="center" wrapText="1" indent="1"/>
    </xf>
    <xf numFmtId="0" fontId="16" fillId="11" borderId="1" xfId="0" applyFont="1" applyFill="1" applyBorder="1" applyAlignment="1">
      <alignment horizontal="left" vertical="center" wrapText="1" indent="1"/>
    </xf>
    <xf numFmtId="0" fontId="17" fillId="11" borderId="1" xfId="0" applyFont="1" applyFill="1" applyBorder="1" applyAlignment="1">
      <alignment horizontal="left" vertical="center" wrapText="1" indent="1"/>
    </xf>
    <xf numFmtId="3" fontId="16" fillId="11" borderId="5" xfId="0" applyNumberFormat="1" applyFont="1" applyFill="1" applyBorder="1" applyAlignment="1">
      <alignment horizontal="left" vertical="center" wrapText="1" indent="1"/>
    </xf>
    <xf numFmtId="3" fontId="17" fillId="11" borderId="1" xfId="0" applyNumberFormat="1" applyFont="1" applyFill="1" applyBorder="1" applyAlignment="1">
      <alignment horizontal="left" vertical="center" wrapText="1" indent="1"/>
    </xf>
    <xf numFmtId="3" fontId="16" fillId="11" borderId="1" xfId="0" applyNumberFormat="1" applyFont="1" applyFill="1" applyBorder="1" applyAlignment="1">
      <alignment horizontal="left" vertical="center" wrapText="1" indent="1"/>
    </xf>
    <xf numFmtId="0" fontId="10" fillId="9" borderId="7" xfId="0" applyFont="1" applyFill="1" applyBorder="1" applyAlignment="1">
      <alignment horizontal="left" vertical="center" wrapText="1" indent="1"/>
    </xf>
    <xf numFmtId="14" fontId="9" fillId="9" borderId="8" xfId="0" applyNumberFormat="1" applyFont="1" applyFill="1" applyBorder="1" applyAlignment="1">
      <alignment horizontal="left" vertical="center" wrapText="1" indent="1"/>
    </xf>
    <xf numFmtId="0" fontId="9" fillId="9" borderId="8" xfId="0" applyFont="1" applyFill="1" applyBorder="1" applyAlignment="1">
      <alignment horizontal="left" vertical="center" wrapText="1" indent="1"/>
    </xf>
    <xf numFmtId="0" fontId="18" fillId="3" borderId="15" xfId="0" applyFont="1" applyFill="1" applyBorder="1" applyAlignment="1">
      <alignment horizontal="left" vertical="center" wrapText="1" indent="1"/>
    </xf>
    <xf numFmtId="14" fontId="19" fillId="3" borderId="16" xfId="0" applyNumberFormat="1" applyFont="1" applyFill="1" applyBorder="1" applyAlignment="1">
      <alignment horizontal="left" vertical="center" wrapText="1" indent="1"/>
    </xf>
    <xf numFmtId="0" fontId="19" fillId="3" borderId="16" xfId="0" applyFont="1" applyFill="1" applyBorder="1" applyAlignment="1">
      <alignment horizontal="left" vertical="center" wrapText="1" indent="1"/>
    </xf>
    <xf numFmtId="0" fontId="18" fillId="3" borderId="16" xfId="0" applyFont="1" applyFill="1" applyBorder="1" applyAlignment="1">
      <alignment horizontal="left" vertical="center" wrapText="1" indent="1"/>
    </xf>
    <xf numFmtId="3" fontId="19" fillId="3" borderId="1" xfId="0" applyNumberFormat="1" applyFont="1" applyFill="1" applyBorder="1" applyAlignment="1">
      <alignment horizontal="left" vertical="center" wrapText="1" indent="1"/>
    </xf>
    <xf numFmtId="3" fontId="18" fillId="3" borderId="1" xfId="0" applyNumberFormat="1" applyFont="1" applyFill="1" applyBorder="1" applyAlignment="1">
      <alignment horizontal="left" vertical="center" wrapText="1" indent="1"/>
    </xf>
    <xf numFmtId="3" fontId="19" fillId="3" borderId="16" xfId="0" applyNumberFormat="1" applyFont="1" applyFill="1" applyBorder="1" applyAlignment="1">
      <alignment horizontal="left" vertical="center" wrapText="1" indent="1"/>
    </xf>
    <xf numFmtId="0" fontId="18" fillId="0" borderId="0" xfId="0" applyFont="1" applyFill="1" applyBorder="1" applyAlignment="1">
      <alignment horizontal="left" vertical="center" wrapText="1" indent="1"/>
    </xf>
    <xf numFmtId="14" fontId="19" fillId="0" borderId="0" xfId="0" applyNumberFormat="1" applyFont="1" applyFill="1" applyBorder="1" applyAlignment="1">
      <alignment horizontal="left" vertical="center" wrapText="1" indent="1"/>
    </xf>
    <xf numFmtId="0" fontId="19" fillId="0" borderId="0" xfId="0" applyFont="1" applyFill="1" applyBorder="1" applyAlignment="1">
      <alignment horizontal="left" vertical="center" wrapText="1" indent="1"/>
    </xf>
    <xf numFmtId="3" fontId="19" fillId="0" borderId="0" xfId="0" applyNumberFormat="1" applyFont="1" applyFill="1" applyBorder="1" applyAlignment="1">
      <alignment horizontal="left" vertical="center" wrapText="1" indent="1"/>
    </xf>
    <xf numFmtId="3" fontId="18" fillId="0" borderId="0" xfId="0" applyNumberFormat="1" applyFont="1" applyFill="1" applyBorder="1" applyAlignment="1">
      <alignment horizontal="left" vertical="center" wrapText="1" indent="1"/>
    </xf>
    <xf numFmtId="0" fontId="8" fillId="12" borderId="0" xfId="0" applyFont="1" applyFill="1" applyAlignment="1">
      <alignment horizontal="left" vertical="center" wrapText="1" indent="1"/>
    </xf>
    <xf numFmtId="3" fontId="8" fillId="12" borderId="0" xfId="0" applyNumberFormat="1" applyFont="1" applyFill="1" applyAlignment="1">
      <alignment horizontal="left" vertical="center" wrapText="1" indent="1"/>
    </xf>
    <xf numFmtId="0" fontId="9" fillId="13" borderId="1" xfId="0" applyFont="1" applyFill="1" applyBorder="1" applyAlignment="1">
      <alignment horizontal="left" vertical="center" wrapText="1" indent="1"/>
    </xf>
    <xf numFmtId="14" fontId="9" fillId="13" borderId="1" xfId="0" applyNumberFormat="1" applyFont="1" applyFill="1" applyBorder="1" applyAlignment="1">
      <alignment horizontal="left" vertical="center" wrapText="1" indent="1"/>
    </xf>
    <xf numFmtId="0" fontId="10" fillId="13" borderId="1" xfId="0" applyFont="1" applyFill="1" applyBorder="1" applyAlignment="1">
      <alignment horizontal="left" vertical="center" wrapText="1" indent="1"/>
    </xf>
    <xf numFmtId="3" fontId="9" fillId="13" borderId="1" xfId="0" applyNumberFormat="1" applyFont="1" applyFill="1" applyBorder="1" applyAlignment="1">
      <alignment horizontal="left" vertical="center" wrapText="1" indent="1"/>
    </xf>
    <xf numFmtId="3" fontId="10" fillId="13" borderId="1" xfId="0" applyNumberFormat="1" applyFont="1" applyFill="1" applyBorder="1" applyAlignment="1">
      <alignment horizontal="left" vertical="center" wrapText="1" indent="1"/>
    </xf>
    <xf numFmtId="0" fontId="8" fillId="7" borderId="17" xfId="0" applyFont="1" applyFill="1" applyBorder="1" applyAlignment="1">
      <alignment horizontal="left" vertical="center" wrapText="1" indent="1"/>
    </xf>
    <xf numFmtId="0" fontId="8" fillId="2" borderId="17" xfId="0" applyFont="1" applyFill="1" applyBorder="1" applyAlignment="1">
      <alignment horizontal="left" vertical="center" wrapText="1" indent="1"/>
    </xf>
    <xf numFmtId="3" fontId="9" fillId="8" borderId="5" xfId="0" applyNumberFormat="1" applyFont="1" applyFill="1" applyBorder="1" applyAlignment="1">
      <alignment horizontal="left" vertical="center" wrapText="1" indent="1"/>
    </xf>
    <xf numFmtId="3" fontId="20" fillId="8" borderId="5" xfId="0" applyNumberFormat="1" applyFont="1" applyFill="1" applyBorder="1" applyAlignment="1">
      <alignment horizontal="left" vertical="center" wrapText="1" indent="1"/>
    </xf>
    <xf numFmtId="0" fontId="9" fillId="8" borderId="18" xfId="0" applyFont="1" applyFill="1" applyBorder="1" applyAlignment="1">
      <alignment horizontal="left" vertical="center" wrapText="1" indent="1"/>
    </xf>
    <xf numFmtId="3" fontId="20" fillId="8" borderId="1" xfId="0" applyNumberFormat="1" applyFont="1" applyFill="1" applyBorder="1" applyAlignment="1">
      <alignment horizontal="left" vertical="center" wrapText="1" indent="1"/>
    </xf>
    <xf numFmtId="0" fontId="9" fillId="8" borderId="19" xfId="0" applyFont="1" applyFill="1" applyBorder="1" applyAlignment="1">
      <alignment horizontal="left" vertical="center" wrapText="1" indent="1"/>
    </xf>
    <xf numFmtId="3" fontId="9" fillId="8" borderId="1" xfId="0" applyNumberFormat="1" applyFont="1" applyFill="1" applyBorder="1" applyAlignment="1">
      <alignment horizontal="left" vertical="center" wrapText="1" indent="1"/>
    </xf>
    <xf numFmtId="3" fontId="9" fillId="8" borderId="8" xfId="0" applyNumberFormat="1" applyFont="1" applyFill="1" applyBorder="1" applyAlignment="1">
      <alignment horizontal="left" vertical="center" wrapText="1" indent="1"/>
    </xf>
    <xf numFmtId="3" fontId="20" fillId="8" borderId="8" xfId="0" applyNumberFormat="1" applyFont="1" applyFill="1" applyBorder="1" applyAlignment="1">
      <alignment horizontal="left" vertical="center" wrapText="1" indent="1"/>
    </xf>
    <xf numFmtId="0" fontId="9" fillId="8" borderId="20" xfId="0" applyFont="1" applyFill="1" applyBorder="1" applyAlignment="1">
      <alignment horizontal="left" vertical="center" wrapText="1" indent="1"/>
    </xf>
    <xf numFmtId="0" fontId="9" fillId="8" borderId="11" xfId="0" applyFont="1" applyFill="1" applyBorder="1" applyAlignment="1">
      <alignment horizontal="left" vertical="center" wrapText="1" indent="1"/>
    </xf>
    <xf numFmtId="0" fontId="0" fillId="0" borderId="0" xfId="0" applyBorder="1"/>
    <xf numFmtId="3" fontId="11" fillId="2" borderId="10" xfId="0" applyNumberFormat="1" applyFont="1" applyFill="1" applyBorder="1" applyAlignment="1">
      <alignment horizontal="left" vertical="center" wrapText="1" indent="1"/>
    </xf>
    <xf numFmtId="43" fontId="11" fillId="2" borderId="10" xfId="1" applyFont="1" applyFill="1" applyBorder="1" applyAlignment="1">
      <alignment horizontal="left" vertical="center" wrapText="1" indent="1"/>
    </xf>
    <xf numFmtId="0" fontId="11" fillId="2" borderId="21" xfId="0" applyFont="1" applyFill="1" applyBorder="1" applyAlignment="1">
      <alignment horizontal="left" vertical="center" wrapText="1" indent="1"/>
    </xf>
    <xf numFmtId="0" fontId="11" fillId="2" borderId="22" xfId="0" applyFont="1" applyFill="1" applyBorder="1" applyAlignment="1">
      <alignment horizontal="left" vertical="center" wrapText="1" indent="1"/>
    </xf>
    <xf numFmtId="3" fontId="11" fillId="0" borderId="0" xfId="0" applyNumberFormat="1" applyFont="1" applyFill="1" applyBorder="1" applyAlignment="1">
      <alignment horizontal="left" vertical="center" wrapText="1" indent="1"/>
    </xf>
    <xf numFmtId="3" fontId="20" fillId="9" borderId="5" xfId="0" applyNumberFormat="1" applyFont="1" applyFill="1" applyBorder="1" applyAlignment="1">
      <alignment horizontal="left" vertical="center" wrapText="1" indent="1"/>
    </xf>
    <xf numFmtId="0" fontId="14" fillId="9" borderId="18" xfId="0" applyFont="1" applyFill="1" applyBorder="1" applyAlignment="1">
      <alignment horizontal="left" vertical="center" wrapText="1" indent="1"/>
    </xf>
    <xf numFmtId="0" fontId="9" fillId="9" borderId="19" xfId="0" applyFont="1" applyFill="1" applyBorder="1" applyAlignment="1">
      <alignment horizontal="left" vertical="center" wrapText="1" indent="1"/>
    </xf>
    <xf numFmtId="3" fontId="20" fillId="9" borderId="3" xfId="0" applyNumberFormat="1" applyFont="1" applyFill="1" applyBorder="1" applyAlignment="1">
      <alignment horizontal="left" vertical="center" wrapText="1" indent="1"/>
    </xf>
    <xf numFmtId="3" fontId="20" fillId="10" borderId="18" xfId="0" applyNumberFormat="1" applyFont="1" applyFill="1" applyBorder="1" applyAlignment="1">
      <alignment horizontal="left" vertical="center" wrapText="1" indent="1"/>
    </xf>
    <xf numFmtId="0" fontId="9" fillId="9" borderId="23" xfId="0" applyFont="1" applyFill="1" applyBorder="1" applyAlignment="1">
      <alignment horizontal="left" vertical="center" wrapText="1" indent="1"/>
    </xf>
    <xf numFmtId="3" fontId="20" fillId="10" borderId="19" xfId="0" applyNumberFormat="1" applyFont="1" applyFill="1" applyBorder="1" applyAlignment="1">
      <alignment horizontal="left" vertical="center" wrapText="1" indent="1"/>
    </xf>
    <xf numFmtId="3" fontId="9" fillId="10" borderId="13" xfId="0" applyNumberFormat="1" applyFont="1" applyFill="1" applyBorder="1" applyAlignment="1">
      <alignment horizontal="left" vertical="center" wrapText="1" indent="1"/>
    </xf>
    <xf numFmtId="3" fontId="20" fillId="10" borderId="24" xfId="0" applyNumberFormat="1" applyFont="1" applyFill="1" applyBorder="1" applyAlignment="1">
      <alignment horizontal="left" vertical="center" wrapText="1" indent="1"/>
    </xf>
    <xf numFmtId="0" fontId="14" fillId="9" borderId="19" xfId="0" applyFont="1" applyFill="1" applyBorder="1" applyAlignment="1">
      <alignment horizontal="left" vertical="center" wrapText="1" indent="1"/>
    </xf>
    <xf numFmtId="3" fontId="20" fillId="9" borderId="14" xfId="0" applyNumberFormat="1" applyFont="1" applyFill="1" applyBorder="1" applyAlignment="1">
      <alignment horizontal="left" vertical="center" wrapText="1" indent="1"/>
    </xf>
    <xf numFmtId="0" fontId="9" fillId="9" borderId="3" xfId="0" applyFont="1" applyFill="1" applyBorder="1" applyAlignment="1">
      <alignment horizontal="left" vertical="center" wrapText="1" indent="1"/>
    </xf>
    <xf numFmtId="0" fontId="9" fillId="9" borderId="20" xfId="0" applyFont="1" applyFill="1" applyBorder="1" applyAlignment="1">
      <alignment horizontal="left" vertical="center" wrapText="1" indent="1"/>
    </xf>
    <xf numFmtId="3" fontId="8" fillId="3" borderId="16" xfId="0" applyNumberFormat="1" applyFont="1" applyFill="1" applyBorder="1" applyAlignment="1">
      <alignment horizontal="left" vertical="center" wrapText="1" indent="1"/>
    </xf>
    <xf numFmtId="0" fontId="19" fillId="3" borderId="25" xfId="0" applyFont="1" applyFill="1" applyBorder="1" applyAlignment="1">
      <alignment horizontal="left" vertical="center" wrapText="1" indent="1"/>
    </xf>
    <xf numFmtId="3" fontId="8" fillId="0" borderId="0" xfId="0" applyNumberFormat="1" applyFont="1" applyFill="1" applyBorder="1" applyAlignment="1">
      <alignment horizontal="left" vertical="center" wrapText="1" indent="1"/>
    </xf>
    <xf numFmtId="3" fontId="20" fillId="13" borderId="1" xfId="0" applyNumberFormat="1" applyFont="1" applyFill="1" applyBorder="1" applyAlignment="1">
      <alignment horizontal="left" vertical="center" wrapText="1" indent="1"/>
    </xf>
    <xf numFmtId="0" fontId="0" fillId="0" borderId="26" xfId="0" applyBorder="1"/>
    <xf numFmtId="0" fontId="9" fillId="13" borderId="8" xfId="0" applyFont="1" applyFill="1" applyBorder="1" applyAlignment="1">
      <alignment horizontal="left" vertical="center" wrapText="1" indent="1"/>
    </xf>
    <xf numFmtId="14" fontId="9" fillId="13" borderId="8" xfId="0" applyNumberFormat="1" applyFont="1" applyFill="1" applyBorder="1" applyAlignment="1">
      <alignment horizontal="left" vertical="center" wrapText="1" indent="1"/>
    </xf>
    <xf numFmtId="0" fontId="10" fillId="13" borderId="8" xfId="0" applyFont="1" applyFill="1" applyBorder="1" applyAlignment="1">
      <alignment horizontal="left" vertical="center" wrapText="1" indent="1"/>
    </xf>
    <xf numFmtId="3" fontId="9" fillId="13" borderId="8" xfId="0" applyNumberFormat="1" applyFont="1" applyFill="1" applyBorder="1" applyAlignment="1">
      <alignment horizontal="left" vertical="center" wrapText="1" indent="1"/>
    </xf>
    <xf numFmtId="3" fontId="10" fillId="13" borderId="8" xfId="0" applyNumberFormat="1" applyFont="1" applyFill="1" applyBorder="1" applyAlignment="1">
      <alignment horizontal="left" vertical="center" wrapText="1" indent="1"/>
    </xf>
    <xf numFmtId="0" fontId="8" fillId="12" borderId="27" xfId="0" applyFont="1" applyFill="1" applyBorder="1" applyAlignment="1">
      <alignment horizontal="left" vertical="center" wrapText="1" indent="1"/>
    </xf>
    <xf numFmtId="14" fontId="8" fillId="12" borderId="28" xfId="0" applyNumberFormat="1" applyFont="1" applyFill="1" applyBorder="1" applyAlignment="1">
      <alignment horizontal="left" vertical="center" wrapText="1" indent="1"/>
    </xf>
    <xf numFmtId="0" fontId="8" fillId="12" borderId="28" xfId="0" applyFont="1" applyFill="1" applyBorder="1" applyAlignment="1">
      <alignment horizontal="left" vertical="center" wrapText="1" indent="1"/>
    </xf>
    <xf numFmtId="0" fontId="21" fillId="12" borderId="28" xfId="0" applyFont="1" applyFill="1" applyBorder="1" applyAlignment="1">
      <alignment horizontal="left" vertical="center" wrapText="1" indent="1"/>
    </xf>
    <xf numFmtId="3" fontId="8" fillId="12" borderId="29" xfId="0" applyNumberFormat="1" applyFont="1" applyFill="1" applyBorder="1" applyAlignment="1">
      <alignment horizontal="left" vertical="center" wrapText="1" indent="1"/>
    </xf>
    <xf numFmtId="3" fontId="22" fillId="12" borderId="30" xfId="0" applyNumberFormat="1" applyFont="1" applyFill="1" applyBorder="1" applyAlignment="1">
      <alignment horizontal="left" vertical="center" wrapText="1" indent="1"/>
    </xf>
    <xf numFmtId="3" fontId="8" fillId="12" borderId="28" xfId="0" applyNumberFormat="1" applyFont="1" applyFill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14" fontId="9" fillId="0" borderId="0" xfId="0" applyNumberFormat="1" applyFont="1" applyAlignment="1">
      <alignment horizontal="left" vertical="center" wrapText="1" indent="1"/>
    </xf>
    <xf numFmtId="3" fontId="9" fillId="0" borderId="0" xfId="0" applyNumberFormat="1" applyFont="1" applyAlignment="1">
      <alignment horizontal="left" vertical="center" wrapText="1" indent="1"/>
    </xf>
    <xf numFmtId="0" fontId="6" fillId="14" borderId="0" xfId="0" applyFont="1" applyFill="1" applyAlignment="1">
      <alignment horizontal="left" vertical="center" wrapText="1" indent="1"/>
    </xf>
    <xf numFmtId="3" fontId="6" fillId="14" borderId="0" xfId="0" applyNumberFormat="1" applyFont="1" applyFill="1" applyAlignment="1">
      <alignment horizontal="left" vertical="center" wrapText="1" indent="1"/>
    </xf>
    <xf numFmtId="0" fontId="23" fillId="15" borderId="31" xfId="0" applyFont="1" applyFill="1" applyBorder="1" applyAlignment="1">
      <alignment horizontal="left" vertical="center" wrapText="1" indent="1"/>
    </xf>
    <xf numFmtId="14" fontId="23" fillId="15" borderId="32" xfId="0" applyNumberFormat="1" applyFont="1" applyFill="1" applyBorder="1" applyAlignment="1">
      <alignment horizontal="left" vertical="center" wrapText="1" indent="1"/>
    </xf>
    <xf numFmtId="0" fontId="23" fillId="15" borderId="32" xfId="0" applyFont="1" applyFill="1" applyBorder="1" applyAlignment="1">
      <alignment horizontal="left" vertical="center" wrapText="1" indent="1"/>
    </xf>
    <xf numFmtId="3" fontId="23" fillId="15" borderId="32" xfId="0" applyNumberFormat="1" applyFont="1" applyFill="1" applyBorder="1" applyAlignment="1">
      <alignment horizontal="left" vertical="center" wrapText="1" indent="1"/>
    </xf>
    <xf numFmtId="0" fontId="9" fillId="16" borderId="1" xfId="0" applyFont="1" applyFill="1" applyBorder="1" applyAlignment="1">
      <alignment horizontal="left" vertical="center" wrapText="1" indent="1"/>
    </xf>
    <xf numFmtId="14" fontId="9" fillId="16" borderId="1" xfId="0" applyNumberFormat="1" applyFont="1" applyFill="1" applyBorder="1" applyAlignment="1">
      <alignment horizontal="left" vertical="center" wrapText="1" indent="1"/>
    </xf>
    <xf numFmtId="3" fontId="9" fillId="16" borderId="1" xfId="0" applyNumberFormat="1" applyFont="1" applyFill="1" applyBorder="1" applyAlignment="1">
      <alignment horizontal="left" vertical="center" wrapText="1" indent="1"/>
    </xf>
    <xf numFmtId="0" fontId="6" fillId="15" borderId="1" xfId="0" applyFont="1" applyFill="1" applyBorder="1" applyAlignment="1">
      <alignment horizontal="left" vertical="center" wrapText="1" indent="1"/>
    </xf>
    <xf numFmtId="14" fontId="6" fillId="15" borderId="1" xfId="0" applyNumberFormat="1" applyFont="1" applyFill="1" applyBorder="1" applyAlignment="1">
      <alignment horizontal="left" vertical="center" wrapText="1" indent="1"/>
    </xf>
    <xf numFmtId="3" fontId="6" fillId="15" borderId="1" xfId="0" applyNumberFormat="1" applyFont="1" applyFill="1" applyBorder="1" applyAlignment="1">
      <alignment horizontal="left" vertical="center" wrapText="1" indent="1"/>
    </xf>
    <xf numFmtId="0" fontId="23" fillId="15" borderId="1" xfId="0" applyFont="1" applyFill="1" applyBorder="1" applyAlignment="1">
      <alignment horizontal="left" vertical="center" wrapText="1" indent="1"/>
    </xf>
    <xf numFmtId="14" fontId="23" fillId="15" borderId="1" xfId="0" applyNumberFormat="1" applyFont="1" applyFill="1" applyBorder="1" applyAlignment="1">
      <alignment horizontal="left" vertical="center" wrapText="1" indent="1"/>
    </xf>
    <xf numFmtId="3" fontId="23" fillId="15" borderId="1" xfId="0" applyNumberFormat="1" applyFont="1" applyFill="1" applyBorder="1" applyAlignment="1">
      <alignment horizontal="left" vertical="center" wrapText="1" indent="1"/>
    </xf>
    <xf numFmtId="0" fontId="9" fillId="17" borderId="1" xfId="0" applyFont="1" applyFill="1" applyBorder="1" applyAlignment="1">
      <alignment horizontal="left" vertical="center" wrapText="1" indent="1"/>
    </xf>
    <xf numFmtId="14" fontId="9" fillId="17" borderId="1" xfId="0" applyNumberFormat="1" applyFont="1" applyFill="1" applyBorder="1" applyAlignment="1">
      <alignment horizontal="left" vertical="center" wrapText="1" indent="1"/>
    </xf>
    <xf numFmtId="3" fontId="9" fillId="17" borderId="1" xfId="0" applyNumberFormat="1" applyFont="1" applyFill="1" applyBorder="1" applyAlignment="1">
      <alignment horizontal="left" vertical="center" wrapText="1" indent="1"/>
    </xf>
    <xf numFmtId="3" fontId="20" fillId="13" borderId="8" xfId="0" applyNumberFormat="1" applyFont="1" applyFill="1" applyBorder="1" applyAlignment="1">
      <alignment horizontal="left" vertical="center" wrapText="1" indent="1"/>
    </xf>
    <xf numFmtId="0" fontId="0" fillId="0" borderId="1" xfId="0" applyFill="1" applyBorder="1"/>
    <xf numFmtId="3" fontId="8" fillId="12" borderId="22" xfId="0" applyNumberFormat="1" applyFont="1" applyFill="1" applyBorder="1" applyAlignment="1">
      <alignment horizontal="left" vertical="center" wrapText="1" indent="1"/>
    </xf>
    <xf numFmtId="0" fontId="8" fillId="12" borderId="33" xfId="0" applyFont="1" applyFill="1" applyBorder="1" applyAlignment="1">
      <alignment horizontal="left" vertical="center" wrapText="1" indent="1"/>
    </xf>
    <xf numFmtId="3" fontId="20" fillId="0" borderId="0" xfId="0" applyNumberFormat="1" applyFont="1" applyAlignment="1">
      <alignment horizontal="left" vertical="center" wrapText="1" indent="1"/>
    </xf>
    <xf numFmtId="3" fontId="6" fillId="15" borderId="0" xfId="0" applyNumberFormat="1" applyFont="1" applyFill="1" applyAlignment="1">
      <alignment horizontal="left" vertical="center" wrapText="1" indent="1"/>
    </xf>
    <xf numFmtId="0" fontId="23" fillId="15" borderId="34" xfId="0" applyFont="1" applyFill="1" applyBorder="1" applyAlignment="1">
      <alignment horizontal="left" vertical="center" wrapText="1" indent="1"/>
    </xf>
    <xf numFmtId="3" fontId="16" fillId="16" borderId="1" xfId="0" applyNumberFormat="1" applyFont="1" applyFill="1" applyBorder="1" applyAlignment="1">
      <alignment horizontal="left" vertical="center" wrapText="1" indent="1"/>
    </xf>
    <xf numFmtId="3" fontId="16" fillId="16" borderId="0" xfId="0" applyNumberFormat="1" applyFont="1" applyFill="1" applyBorder="1" applyAlignment="1">
      <alignment horizontal="left" vertical="center" wrapText="1" indent="1"/>
    </xf>
    <xf numFmtId="3" fontId="16" fillId="17" borderId="1" xfId="0" applyNumberFormat="1" applyFont="1" applyFill="1" applyBorder="1" applyAlignment="1">
      <alignment horizontal="left" vertical="center" wrapText="1" indent="1"/>
    </xf>
    <xf numFmtId="0" fontId="9" fillId="18" borderId="1" xfId="0" applyFont="1" applyFill="1" applyBorder="1" applyAlignment="1">
      <alignment horizontal="left" vertical="center" wrapText="1" indent="1"/>
    </xf>
    <xf numFmtId="14" fontId="9" fillId="18" borderId="1" xfId="0" applyNumberFormat="1" applyFont="1" applyFill="1" applyBorder="1" applyAlignment="1">
      <alignment horizontal="left" vertical="center" wrapText="1" indent="1"/>
    </xf>
    <xf numFmtId="3" fontId="9" fillId="18" borderId="1" xfId="0" applyNumberFormat="1" applyFont="1" applyFill="1" applyBorder="1" applyAlignment="1">
      <alignment horizontal="left" vertical="center" wrapText="1" indent="1"/>
    </xf>
    <xf numFmtId="0" fontId="24" fillId="14" borderId="9" xfId="0" applyFont="1" applyFill="1" applyBorder="1" applyAlignment="1">
      <alignment horizontal="left" vertical="center" wrapText="1" indent="1"/>
    </xf>
    <xf numFmtId="14" fontId="24" fillId="14" borderId="10" xfId="0" applyNumberFormat="1" applyFont="1" applyFill="1" applyBorder="1" applyAlignment="1">
      <alignment horizontal="left" vertical="center" wrapText="1" indent="1"/>
    </xf>
    <xf numFmtId="0" fontId="24" fillId="14" borderId="10" xfId="0" applyFont="1" applyFill="1" applyBorder="1" applyAlignment="1">
      <alignment horizontal="left" vertical="center" wrapText="1" indent="1"/>
    </xf>
    <xf numFmtId="3" fontId="6" fillId="14" borderId="10" xfId="0" applyNumberFormat="1" applyFont="1" applyFill="1" applyBorder="1" applyAlignment="1">
      <alignment horizontal="left" vertical="center" wrapText="1" indent="1"/>
    </xf>
    <xf numFmtId="3" fontId="24" fillId="14" borderId="10" xfId="0" applyNumberFormat="1" applyFont="1" applyFill="1" applyBorder="1" applyAlignment="1">
      <alignment horizontal="left" vertical="center" wrapText="1" indent="1"/>
    </xf>
    <xf numFmtId="0" fontId="9" fillId="0" borderId="9" xfId="0" applyFont="1" applyFill="1" applyBorder="1" applyAlignment="1">
      <alignment horizontal="left" vertical="center" wrapText="1" indent="1"/>
    </xf>
    <xf numFmtId="14" fontId="9" fillId="0" borderId="10" xfId="0" applyNumberFormat="1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left" vertical="center" wrapText="1" indent="1"/>
    </xf>
    <xf numFmtId="3" fontId="9" fillId="0" borderId="10" xfId="0" applyNumberFormat="1" applyFont="1" applyFill="1" applyBorder="1" applyAlignment="1">
      <alignment horizontal="left" vertical="center" wrapText="1" indent="1"/>
    </xf>
    <xf numFmtId="0" fontId="8" fillId="7" borderId="35" xfId="0" applyFont="1" applyFill="1" applyBorder="1" applyAlignment="1">
      <alignment horizontal="left" vertical="center" wrapText="1" indent="1"/>
    </xf>
    <xf numFmtId="0" fontId="8" fillId="7" borderId="10" xfId="0" applyFont="1" applyFill="1" applyBorder="1" applyAlignment="1">
      <alignment horizontal="left" vertical="center" wrapText="1" indent="1"/>
    </xf>
    <xf numFmtId="0" fontId="6" fillId="19" borderId="0" xfId="0" applyFont="1" applyFill="1" applyAlignment="1">
      <alignment horizontal="left" vertical="center" wrapText="1" indent="1"/>
    </xf>
    <xf numFmtId="3" fontId="6" fillId="19" borderId="0" xfId="0" applyNumberFormat="1" applyFont="1" applyFill="1" applyAlignment="1">
      <alignment horizontal="left" vertical="center" wrapText="1" indent="1"/>
    </xf>
    <xf numFmtId="0" fontId="25" fillId="20" borderId="1" xfId="0" applyFont="1" applyFill="1" applyBorder="1" applyAlignment="1">
      <alignment horizontal="left" vertical="center" wrapText="1" indent="1"/>
    </xf>
    <xf numFmtId="14" fontId="25" fillId="20" borderId="1" xfId="0" applyNumberFormat="1" applyFont="1" applyFill="1" applyBorder="1" applyAlignment="1">
      <alignment horizontal="left" vertical="center" wrapText="1" indent="1"/>
    </xf>
    <xf numFmtId="3" fontId="25" fillId="20" borderId="1" xfId="0" applyNumberFormat="1" applyFont="1" applyFill="1" applyBorder="1" applyAlignment="1">
      <alignment horizontal="left" vertical="center" wrapText="1" indent="1"/>
    </xf>
    <xf numFmtId="0" fontId="9" fillId="21" borderId="1" xfId="0" applyFont="1" applyFill="1" applyBorder="1" applyAlignment="1">
      <alignment horizontal="left" vertical="center" wrapText="1" indent="1"/>
    </xf>
    <xf numFmtId="14" fontId="9" fillId="21" borderId="1" xfId="0" applyNumberFormat="1" applyFont="1" applyFill="1" applyBorder="1" applyAlignment="1">
      <alignment horizontal="left" vertical="center" wrapText="1" indent="1"/>
    </xf>
    <xf numFmtId="3" fontId="9" fillId="21" borderId="1" xfId="0" applyNumberFormat="1" applyFont="1" applyFill="1" applyBorder="1" applyAlignment="1">
      <alignment horizontal="left" vertical="center" wrapText="1" indent="1"/>
    </xf>
    <xf numFmtId="0" fontId="6" fillId="20" borderId="1" xfId="0" applyFont="1" applyFill="1" applyBorder="1" applyAlignment="1">
      <alignment horizontal="left" vertical="center" wrapText="1" indent="1"/>
    </xf>
    <xf numFmtId="14" fontId="6" fillId="20" borderId="1" xfId="0" applyNumberFormat="1" applyFont="1" applyFill="1" applyBorder="1" applyAlignment="1">
      <alignment horizontal="left" vertical="center" wrapText="1" indent="1"/>
    </xf>
    <xf numFmtId="3" fontId="6" fillId="20" borderId="1" xfId="0" applyNumberFormat="1" applyFont="1" applyFill="1" applyBorder="1" applyAlignment="1">
      <alignment horizontal="left" vertical="center" wrapText="1" indent="1"/>
    </xf>
    <xf numFmtId="3" fontId="16" fillId="18" borderId="1" xfId="0" applyNumberFormat="1" applyFont="1" applyFill="1" applyBorder="1" applyAlignment="1">
      <alignment horizontal="left" vertical="center" wrapText="1" indent="1"/>
    </xf>
    <xf numFmtId="0" fontId="24" fillId="14" borderId="21" xfId="0" applyFont="1" applyFill="1" applyBorder="1" applyAlignment="1">
      <alignment horizontal="left" vertical="center" wrapText="1" indent="1"/>
    </xf>
    <xf numFmtId="3" fontId="20" fillId="0" borderId="10" xfId="0" applyNumberFormat="1" applyFont="1" applyFill="1" applyBorder="1" applyAlignment="1">
      <alignment horizontal="left" vertical="center" wrapText="1" indent="1"/>
    </xf>
    <xf numFmtId="0" fontId="9" fillId="0" borderId="21" xfId="0" applyFont="1" applyFill="1" applyBorder="1" applyAlignment="1">
      <alignment horizontal="left" vertical="center" wrapText="1" indent="1"/>
    </xf>
    <xf numFmtId="0" fontId="8" fillId="7" borderId="36" xfId="0" applyFont="1" applyFill="1" applyBorder="1" applyAlignment="1">
      <alignment horizontal="left" vertical="center" wrapText="1" indent="1"/>
    </xf>
    <xf numFmtId="3" fontId="6" fillId="20" borderId="0" xfId="0" applyNumberFormat="1" applyFont="1" applyFill="1" applyAlignment="1">
      <alignment horizontal="left" vertical="center" wrapText="1" indent="1"/>
    </xf>
    <xf numFmtId="3" fontId="16" fillId="21" borderId="1" xfId="0" applyNumberFormat="1" applyFont="1" applyFill="1" applyBorder="1" applyAlignment="1">
      <alignment horizontal="left" vertical="center" wrapText="1" indent="1"/>
    </xf>
    <xf numFmtId="3" fontId="16" fillId="21" borderId="14" xfId="0" applyNumberFormat="1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horizontal="left" vertical="center" wrapText="1" indent="1"/>
    </xf>
    <xf numFmtId="14" fontId="9" fillId="0" borderId="0" xfId="0" applyNumberFormat="1" applyFont="1" applyFill="1" applyBorder="1" applyAlignment="1">
      <alignment horizontal="left" vertical="center" wrapText="1" indent="1"/>
    </xf>
    <xf numFmtId="3" fontId="9" fillId="0" borderId="0" xfId="0" applyNumberFormat="1" applyFont="1" applyFill="1" applyBorder="1" applyAlignment="1">
      <alignment horizontal="left" vertical="center" wrapText="1" indent="1"/>
    </xf>
    <xf numFmtId="0" fontId="6" fillId="22" borderId="0" xfId="0" applyFont="1" applyFill="1" applyAlignment="1">
      <alignment horizontal="left" vertical="center" wrapText="1" indent="1"/>
    </xf>
    <xf numFmtId="3" fontId="6" fillId="22" borderId="0" xfId="0" applyNumberFormat="1" applyFont="1" applyFill="1" applyAlignment="1">
      <alignment horizontal="left" vertical="center" wrapText="1" indent="1"/>
    </xf>
    <xf numFmtId="0" fontId="24" fillId="23" borderId="1" xfId="0" applyFont="1" applyFill="1" applyBorder="1" applyAlignment="1">
      <alignment horizontal="left" vertical="center" wrapText="1" indent="1"/>
    </xf>
    <xf numFmtId="14" fontId="24" fillId="23" borderId="1" xfId="0" applyNumberFormat="1" applyFont="1" applyFill="1" applyBorder="1" applyAlignment="1">
      <alignment horizontal="left" vertical="center" wrapText="1" indent="1"/>
    </xf>
    <xf numFmtId="3" fontId="24" fillId="23" borderId="1" xfId="0" applyNumberFormat="1" applyFont="1" applyFill="1" applyBorder="1" applyAlignment="1">
      <alignment horizontal="left" vertical="center" wrapText="1" indent="1"/>
    </xf>
    <xf numFmtId="0" fontId="9" fillId="24" borderId="1" xfId="0" applyFont="1" applyFill="1" applyBorder="1" applyAlignment="1">
      <alignment horizontal="left" vertical="center" wrapText="1" indent="1"/>
    </xf>
    <xf numFmtId="14" fontId="9" fillId="24" borderId="1" xfId="0" applyNumberFormat="1" applyFont="1" applyFill="1" applyBorder="1" applyAlignment="1">
      <alignment horizontal="left" vertical="center" wrapText="1" indent="1"/>
    </xf>
    <xf numFmtId="3" fontId="9" fillId="24" borderId="1" xfId="0" applyNumberFormat="1" applyFont="1" applyFill="1" applyBorder="1" applyAlignment="1">
      <alignment horizontal="left" vertical="center" wrapText="1" indent="1"/>
    </xf>
    <xf numFmtId="0" fontId="7" fillId="22" borderId="9" xfId="0" applyFont="1" applyFill="1" applyBorder="1" applyAlignment="1">
      <alignment horizontal="left" vertical="center" wrapText="1" indent="1"/>
    </xf>
    <xf numFmtId="14" fontId="7" fillId="22" borderId="10" xfId="0" applyNumberFormat="1" applyFont="1" applyFill="1" applyBorder="1" applyAlignment="1">
      <alignment horizontal="left" vertical="center" wrapText="1" indent="1"/>
    </xf>
    <xf numFmtId="0" fontId="7" fillId="22" borderId="10" xfId="0" applyFont="1" applyFill="1" applyBorder="1" applyAlignment="1">
      <alignment horizontal="left" vertical="center" wrapText="1" indent="1"/>
    </xf>
    <xf numFmtId="3" fontId="6" fillId="22" borderId="10" xfId="0" applyNumberFormat="1" applyFont="1" applyFill="1" applyBorder="1" applyAlignment="1">
      <alignment horizontal="left" vertical="center" wrapText="1" indent="1"/>
    </xf>
    <xf numFmtId="3" fontId="7" fillId="22" borderId="10" xfId="0" applyNumberFormat="1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1"/>
    </xf>
    <xf numFmtId="14" fontId="7" fillId="0" borderId="0" xfId="0" applyNumberFormat="1" applyFont="1" applyFill="1" applyBorder="1" applyAlignment="1">
      <alignment horizontal="left" vertical="center" wrapText="1" indent="1"/>
    </xf>
    <xf numFmtId="3" fontId="7" fillId="0" borderId="0" xfId="0" applyNumberFormat="1" applyFont="1" applyFill="1" applyBorder="1" applyAlignment="1">
      <alignment horizontal="left" vertical="center" wrapText="1" indent="1"/>
    </xf>
    <xf numFmtId="0" fontId="23" fillId="25" borderId="0" xfId="0" applyFont="1" applyFill="1" applyAlignment="1">
      <alignment horizontal="left" vertical="center" wrapText="1" indent="1"/>
    </xf>
    <xf numFmtId="3" fontId="8" fillId="25" borderId="0" xfId="0" applyNumberFormat="1" applyFont="1" applyFill="1" applyAlignment="1">
      <alignment horizontal="left" vertical="center" wrapText="1" indent="1"/>
    </xf>
    <xf numFmtId="0" fontId="9" fillId="26" borderId="1" xfId="0" applyFont="1" applyFill="1" applyBorder="1" applyAlignment="1">
      <alignment horizontal="left" vertical="center" wrapText="1" indent="1"/>
    </xf>
    <xf numFmtId="14" fontId="9" fillId="26" borderId="1" xfId="0" applyNumberFormat="1" applyFont="1" applyFill="1" applyBorder="1" applyAlignment="1">
      <alignment horizontal="left" vertical="center" wrapText="1" indent="1"/>
    </xf>
    <xf numFmtId="3" fontId="20" fillId="26" borderId="1" xfId="0" applyNumberFormat="1" applyFont="1" applyFill="1" applyBorder="1" applyAlignment="1">
      <alignment horizontal="left" vertical="center" wrapText="1" indent="1"/>
    </xf>
    <xf numFmtId="0" fontId="9" fillId="26" borderId="14" xfId="0" applyFont="1" applyFill="1" applyBorder="1" applyAlignment="1">
      <alignment horizontal="left" vertical="center" wrapText="1" indent="1"/>
    </xf>
    <xf numFmtId="14" fontId="9" fillId="26" borderId="14" xfId="0" applyNumberFormat="1" applyFont="1" applyFill="1" applyBorder="1" applyAlignment="1">
      <alignment horizontal="left" vertical="center" wrapText="1" indent="1"/>
    </xf>
    <xf numFmtId="0" fontId="8" fillId="27" borderId="14" xfId="0" applyFont="1" applyFill="1" applyBorder="1" applyAlignment="1">
      <alignment horizontal="left" vertical="center" wrapText="1" indent="1"/>
    </xf>
    <xf numFmtId="14" fontId="8" fillId="27" borderId="14" xfId="0" applyNumberFormat="1" applyFont="1" applyFill="1" applyBorder="1" applyAlignment="1">
      <alignment horizontal="left" vertical="center" wrapText="1" indent="1"/>
    </xf>
    <xf numFmtId="3" fontId="8" fillId="27" borderId="14" xfId="0" applyNumberFormat="1" applyFont="1" applyFill="1" applyBorder="1" applyAlignment="1">
      <alignment horizontal="left" vertical="center" wrapText="1" indent="1"/>
    </xf>
    <xf numFmtId="0" fontId="9" fillId="27" borderId="0" xfId="0" applyFont="1" applyFill="1" applyAlignment="1">
      <alignment horizontal="left" vertical="center" wrapText="1" indent="1"/>
    </xf>
    <xf numFmtId="0" fontId="8" fillId="0" borderId="0" xfId="0" applyFont="1" applyFill="1" applyBorder="1" applyAlignment="1">
      <alignment horizontal="left" vertical="center" wrapText="1" indent="1"/>
    </xf>
    <xf numFmtId="14" fontId="8" fillId="0" borderId="0" xfId="0" applyNumberFormat="1" applyFont="1" applyFill="1" applyBorder="1" applyAlignment="1">
      <alignment horizontal="left" vertical="center" wrapText="1" indent="1"/>
    </xf>
    <xf numFmtId="0" fontId="9" fillId="0" borderId="0" xfId="0" applyFont="1" applyFill="1" applyAlignment="1">
      <alignment horizontal="left" vertical="center" wrapText="1" indent="1"/>
    </xf>
    <xf numFmtId="0" fontId="27" fillId="28" borderId="0" xfId="0" applyFont="1" applyFill="1" applyAlignment="1">
      <alignment horizontal="left" vertical="center" wrapText="1" indent="1"/>
    </xf>
    <xf numFmtId="3" fontId="27" fillId="28" borderId="0" xfId="0" applyNumberFormat="1" applyFont="1" applyFill="1" applyAlignment="1">
      <alignment horizontal="left" vertical="center" wrapText="1" indent="1"/>
    </xf>
    <xf numFmtId="0" fontId="28" fillId="28" borderId="0" xfId="0" applyFont="1" applyFill="1" applyAlignment="1">
      <alignment horizontal="left" vertical="center" wrapText="1" indent="1"/>
    </xf>
    <xf numFmtId="0" fontId="8" fillId="7" borderId="1" xfId="0" applyFont="1" applyFill="1" applyBorder="1" applyAlignment="1">
      <alignment horizontal="left" vertical="center" wrapText="1" indent="1"/>
    </xf>
    <xf numFmtId="0" fontId="29" fillId="7" borderId="1" xfId="0" applyFont="1" applyFill="1" applyBorder="1"/>
    <xf numFmtId="0" fontId="6" fillId="2" borderId="1" xfId="0" applyFont="1" applyFill="1" applyBorder="1" applyAlignment="1">
      <alignment horizontal="left" vertical="center" wrapText="1" indent="1"/>
    </xf>
    <xf numFmtId="3" fontId="24" fillId="2" borderId="1" xfId="0" applyNumberFormat="1" applyFont="1" applyFill="1" applyBorder="1" applyAlignment="1">
      <alignment horizontal="left" vertical="center" wrapText="1" indent="1"/>
    </xf>
    <xf numFmtId="0" fontId="30" fillId="2" borderId="1" xfId="0" applyFont="1" applyFill="1" applyBorder="1" applyAlignment="1">
      <alignment horizontal="right" vertical="center" wrapText="1" indent="1"/>
    </xf>
    <xf numFmtId="43" fontId="30" fillId="2" borderId="1" xfId="0" applyNumberFormat="1" applyFont="1" applyFill="1" applyBorder="1" applyAlignment="1">
      <alignment horizontal="right" vertical="center" wrapText="1" indent="1"/>
    </xf>
    <xf numFmtId="9" fontId="30" fillId="2" borderId="1" xfId="2" applyFont="1" applyFill="1" applyBorder="1" applyAlignment="1">
      <alignment horizontal="right" vertical="center" wrapText="1" indent="1"/>
    </xf>
    <xf numFmtId="0" fontId="3" fillId="2" borderId="1" xfId="0" applyFont="1" applyFill="1" applyBorder="1"/>
    <xf numFmtId="0" fontId="6" fillId="3" borderId="1" xfId="0" applyFont="1" applyFill="1" applyBorder="1" applyAlignment="1">
      <alignment horizontal="left" vertical="center" wrapText="1" indent="1"/>
    </xf>
    <xf numFmtId="3" fontId="24" fillId="3" borderId="1" xfId="0" applyNumberFormat="1" applyFont="1" applyFill="1" applyBorder="1" applyAlignment="1">
      <alignment horizontal="left" vertical="center" wrapText="1" indent="1"/>
    </xf>
    <xf numFmtId="3" fontId="30" fillId="3" borderId="1" xfId="0" applyNumberFormat="1" applyFont="1" applyFill="1" applyBorder="1" applyAlignment="1">
      <alignment horizontal="right" vertical="center" wrapText="1" indent="1"/>
    </xf>
    <xf numFmtId="9" fontId="30" fillId="3" borderId="1" xfId="2" applyFont="1" applyFill="1" applyBorder="1" applyAlignment="1">
      <alignment horizontal="right" vertical="center" wrapText="1" indent="1"/>
    </xf>
    <xf numFmtId="0" fontId="3" fillId="3" borderId="1" xfId="0" applyFont="1" applyFill="1" applyBorder="1"/>
    <xf numFmtId="0" fontId="6" fillId="12" borderId="1" xfId="0" applyFont="1" applyFill="1" applyBorder="1" applyAlignment="1">
      <alignment horizontal="left" vertical="center" wrapText="1" indent="1"/>
    </xf>
    <xf numFmtId="3" fontId="24" fillId="12" borderId="1" xfId="0" applyNumberFormat="1" applyFont="1" applyFill="1" applyBorder="1" applyAlignment="1">
      <alignment horizontal="left" vertical="center" wrapText="1" indent="1"/>
    </xf>
    <xf numFmtId="3" fontId="30" fillId="12" borderId="1" xfId="0" applyNumberFormat="1" applyFont="1" applyFill="1" applyBorder="1" applyAlignment="1">
      <alignment horizontal="right" vertical="center" wrapText="1" indent="1"/>
    </xf>
    <xf numFmtId="9" fontId="30" fillId="12" borderId="1" xfId="2" applyFont="1" applyFill="1" applyBorder="1" applyAlignment="1">
      <alignment horizontal="right" vertical="center" wrapText="1" indent="1"/>
    </xf>
    <xf numFmtId="0" fontId="3" fillId="12" borderId="1" xfId="0" applyFont="1" applyFill="1" applyBorder="1"/>
    <xf numFmtId="3" fontId="20" fillId="0" borderId="0" xfId="0" applyNumberFormat="1" applyFont="1" applyFill="1" applyBorder="1" applyAlignment="1">
      <alignment horizontal="left" vertical="center" wrapText="1" indent="1"/>
    </xf>
    <xf numFmtId="0" fontId="3" fillId="0" borderId="0" xfId="0" applyFont="1" applyFill="1"/>
    <xf numFmtId="3" fontId="6" fillId="23" borderId="1" xfId="0" applyNumberFormat="1" applyFont="1" applyFill="1" applyBorder="1" applyAlignment="1">
      <alignment horizontal="left" vertical="center" wrapText="1" indent="1"/>
    </xf>
    <xf numFmtId="0" fontId="7" fillId="22" borderId="21" xfId="0" applyFont="1" applyFill="1" applyBorder="1" applyAlignment="1">
      <alignment horizontal="left" vertical="center" wrapText="1" indent="1"/>
    </xf>
    <xf numFmtId="3" fontId="23" fillId="0" borderId="0" xfId="0" applyNumberFormat="1" applyFont="1" applyFill="1" applyBorder="1" applyAlignment="1">
      <alignment horizontal="left" vertical="center" wrapText="1" indent="1"/>
    </xf>
    <xf numFmtId="3" fontId="9" fillId="26" borderId="1" xfId="0" applyNumberFormat="1" applyFont="1" applyFill="1" applyBorder="1" applyAlignment="1">
      <alignment horizontal="left" vertical="center" wrapText="1" indent="1"/>
    </xf>
    <xf numFmtId="0" fontId="6" fillId="14" borderId="1" xfId="0" applyFont="1" applyFill="1" applyBorder="1" applyAlignment="1">
      <alignment horizontal="left" vertical="center" wrapText="1" indent="1"/>
    </xf>
    <xf numFmtId="3" fontId="24" fillId="14" borderId="1" xfId="0" applyNumberFormat="1" applyFont="1" applyFill="1" applyBorder="1" applyAlignment="1">
      <alignment horizontal="left" vertical="center" wrapText="1" indent="1"/>
    </xf>
    <xf numFmtId="0" fontId="30" fillId="14" borderId="1" xfId="0" applyFont="1" applyFill="1" applyBorder="1" applyAlignment="1">
      <alignment horizontal="right" vertical="center" wrapText="1" indent="1"/>
    </xf>
    <xf numFmtId="3" fontId="30" fillId="14" borderId="1" xfId="0" applyNumberFormat="1" applyFont="1" applyFill="1" applyBorder="1" applyAlignment="1">
      <alignment horizontal="right" vertical="center" wrapText="1" indent="1"/>
    </xf>
    <xf numFmtId="9" fontId="30" fillId="14" borderId="1" xfId="2" applyFont="1" applyFill="1" applyBorder="1" applyAlignment="1">
      <alignment horizontal="right" vertical="center" wrapText="1" indent="1"/>
    </xf>
    <xf numFmtId="0" fontId="3" fillId="14" borderId="1" xfId="0" applyFont="1" applyFill="1" applyBorder="1"/>
    <xf numFmtId="0" fontId="6" fillId="19" borderId="1" xfId="0" applyFont="1" applyFill="1" applyBorder="1" applyAlignment="1">
      <alignment horizontal="left" vertical="center" wrapText="1" indent="1"/>
    </xf>
    <xf numFmtId="3" fontId="24" fillId="19" borderId="1" xfId="0" applyNumberFormat="1" applyFont="1" applyFill="1" applyBorder="1" applyAlignment="1">
      <alignment horizontal="left" vertical="center" wrapText="1" indent="1"/>
    </xf>
    <xf numFmtId="0" fontId="30" fillId="19" borderId="1" xfId="0" applyFont="1" applyFill="1" applyBorder="1" applyAlignment="1">
      <alignment horizontal="right" vertical="center" wrapText="1" indent="1"/>
    </xf>
    <xf numFmtId="3" fontId="30" fillId="19" borderId="1" xfId="0" applyNumberFormat="1" applyFont="1" applyFill="1" applyBorder="1" applyAlignment="1">
      <alignment horizontal="right" vertical="center" wrapText="1" indent="1"/>
    </xf>
    <xf numFmtId="9" fontId="30" fillId="29" borderId="1" xfId="2" applyFont="1" applyFill="1" applyBorder="1" applyAlignment="1">
      <alignment horizontal="right" vertical="center" wrapText="1" indent="1"/>
    </xf>
    <xf numFmtId="0" fontId="3" fillId="19" borderId="1" xfId="0" applyFont="1" applyFill="1" applyBorder="1"/>
    <xf numFmtId="0" fontId="6" fillId="23" borderId="1" xfId="0" applyFont="1" applyFill="1" applyBorder="1" applyAlignment="1">
      <alignment horizontal="left" vertical="center" wrapText="1" indent="1"/>
    </xf>
    <xf numFmtId="3" fontId="30" fillId="23" borderId="1" xfId="0" applyNumberFormat="1" applyFont="1" applyFill="1" applyBorder="1" applyAlignment="1">
      <alignment horizontal="right" vertical="center" wrapText="1" indent="1"/>
    </xf>
    <xf numFmtId="9" fontId="30" fillId="23" borderId="1" xfId="2" applyFont="1" applyFill="1" applyBorder="1" applyAlignment="1">
      <alignment horizontal="right" vertical="center" wrapText="1" indent="1"/>
    </xf>
    <xf numFmtId="0" fontId="3" fillId="23" borderId="1" xfId="0" applyFont="1" applyFill="1" applyBorder="1"/>
    <xf numFmtId="0" fontId="23" fillId="26" borderId="1" xfId="0" applyFont="1" applyFill="1" applyBorder="1" applyAlignment="1">
      <alignment horizontal="left" vertical="center" wrapText="1" indent="1"/>
    </xf>
    <xf numFmtId="3" fontId="7" fillId="26" borderId="1" xfId="0" applyNumberFormat="1" applyFont="1" applyFill="1" applyBorder="1" applyAlignment="1">
      <alignment horizontal="left" vertical="center" wrapText="1" indent="1"/>
    </xf>
    <xf numFmtId="0" fontId="31" fillId="26" borderId="1" xfId="0" applyFont="1" applyFill="1" applyBorder="1" applyAlignment="1">
      <alignment horizontal="right" vertical="center" wrapText="1" indent="1"/>
    </xf>
    <xf numFmtId="3" fontId="31" fillId="26" borderId="1" xfId="0" applyNumberFormat="1" applyFont="1" applyFill="1" applyBorder="1" applyAlignment="1">
      <alignment horizontal="right" vertical="center" wrapText="1" indent="1"/>
    </xf>
    <xf numFmtId="9" fontId="30" fillId="26" borderId="1" xfId="2" applyFont="1" applyFill="1" applyBorder="1" applyAlignment="1">
      <alignment horizontal="right" vertical="center" wrapText="1" indent="1"/>
    </xf>
    <xf numFmtId="0" fontId="4" fillId="26" borderId="1" xfId="0" applyFont="1" applyFill="1" applyBorder="1"/>
    <xf numFmtId="0" fontId="8" fillId="28" borderId="1" xfId="0" applyFont="1" applyFill="1" applyBorder="1" applyAlignment="1">
      <alignment horizontal="left" vertical="center" wrapText="1" indent="1"/>
    </xf>
    <xf numFmtId="3" fontId="8" fillId="28" borderId="1" xfId="0" applyNumberFormat="1" applyFont="1" applyFill="1" applyBorder="1" applyAlignment="1">
      <alignment horizontal="left" vertical="center" wrapText="1" indent="1"/>
    </xf>
    <xf numFmtId="3" fontId="8" fillId="28" borderId="1" xfId="0" applyNumberFormat="1" applyFont="1" applyFill="1" applyBorder="1" applyAlignment="1">
      <alignment horizontal="right" vertical="center" wrapText="1" indent="1"/>
    </xf>
    <xf numFmtId="9" fontId="8" fillId="28" borderId="1" xfId="2" applyFont="1" applyFill="1" applyBorder="1" applyAlignment="1">
      <alignment horizontal="right" vertical="center" wrapText="1" indent="1"/>
    </xf>
    <xf numFmtId="0" fontId="32" fillId="28" borderId="1" xfId="0" applyFont="1" applyFill="1" applyBorder="1"/>
    <xf numFmtId="0" fontId="0" fillId="0" borderId="8" xfId="0" applyBorder="1"/>
    <xf numFmtId="9" fontId="0" fillId="0" borderId="8" xfId="2" applyFont="1" applyBorder="1"/>
    <xf numFmtId="0" fontId="34" fillId="31" borderId="38" xfId="0" applyFont="1" applyFill="1" applyBorder="1" applyAlignment="1">
      <alignment vertical="center"/>
    </xf>
    <xf numFmtId="0" fontId="34" fillId="31" borderId="3" xfId="0" applyFont="1" applyFill="1" applyBorder="1" applyAlignment="1">
      <alignment vertical="center"/>
    </xf>
    <xf numFmtId="0" fontId="34" fillId="31" borderId="17" xfId="0" applyFont="1" applyFill="1" applyBorder="1" applyAlignment="1">
      <alignment vertical="center"/>
    </xf>
    <xf numFmtId="0" fontId="0" fillId="32" borderId="23" xfId="0" applyFill="1" applyBorder="1"/>
    <xf numFmtId="15" fontId="0" fillId="32" borderId="5" xfId="0" applyNumberFormat="1" applyFill="1" applyBorder="1"/>
    <xf numFmtId="0" fontId="0" fillId="32" borderId="5" xfId="0" applyFill="1" applyBorder="1"/>
    <xf numFmtId="3" fontId="0" fillId="32" borderId="18" xfId="0" applyNumberFormat="1" applyFill="1" applyBorder="1"/>
    <xf numFmtId="0" fontId="0" fillId="32" borderId="26" xfId="0" applyFill="1" applyBorder="1"/>
    <xf numFmtId="15" fontId="0" fillId="32" borderId="1" xfId="0" applyNumberFormat="1" applyFill="1" applyBorder="1"/>
    <xf numFmtId="0" fontId="0" fillId="32" borderId="1" xfId="0" applyFill="1" applyBorder="1"/>
    <xf numFmtId="3" fontId="0" fillId="32" borderId="19" xfId="0" applyNumberFormat="1" applyFill="1" applyBorder="1"/>
    <xf numFmtId="3" fontId="0" fillId="32" borderId="1" xfId="0" applyNumberFormat="1" applyFill="1" applyBorder="1"/>
    <xf numFmtId="0" fontId="0" fillId="32" borderId="0" xfId="0" applyFont="1" applyFill="1" applyBorder="1" applyAlignment="1">
      <alignment vertical="center" wrapText="1"/>
    </xf>
    <xf numFmtId="3" fontId="35" fillId="33" borderId="36" xfId="0" applyNumberFormat="1" applyFont="1" applyFill="1" applyBorder="1" applyAlignment="1">
      <alignment vertical="center"/>
    </xf>
    <xf numFmtId="3" fontId="35" fillId="33" borderId="41" xfId="0" applyNumberFormat="1" applyFont="1" applyFill="1" applyBorder="1" applyAlignment="1">
      <alignment vertical="center"/>
    </xf>
    <xf numFmtId="3" fontId="36" fillId="34" borderId="42" xfId="0" applyNumberFormat="1" applyFont="1" applyFill="1" applyBorder="1" applyAlignment="1">
      <alignment vertical="center"/>
    </xf>
    <xf numFmtId="3" fontId="37" fillId="35" borderId="43" xfId="0" applyNumberFormat="1" applyFont="1" applyFill="1" applyBorder="1" applyAlignment="1">
      <alignment vertical="center"/>
    </xf>
    <xf numFmtId="0" fontId="8" fillId="37" borderId="1" xfId="0" applyFont="1" applyFill="1" applyBorder="1" applyAlignment="1">
      <alignment horizontal="left" vertical="center" wrapText="1"/>
    </xf>
    <xf numFmtId="0" fontId="0" fillId="0" borderId="46" xfId="0" applyFont="1" applyBorder="1" applyAlignment="1">
      <alignment horizontal="left" vertical="center" wrapText="1" indent="1"/>
    </xf>
    <xf numFmtId="0" fontId="20" fillId="0" borderId="4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indent="1"/>
    </xf>
    <xf numFmtId="0" fontId="0" fillId="0" borderId="14" xfId="0" applyFont="1" applyBorder="1"/>
    <xf numFmtId="0" fontId="0" fillId="0" borderId="1" xfId="0" applyFont="1" applyBorder="1"/>
    <xf numFmtId="0" fontId="32" fillId="37" borderId="1" xfId="0" applyFont="1" applyFill="1" applyBorder="1"/>
    <xf numFmtId="0" fontId="20" fillId="0" borderId="52" xfId="0" applyFont="1" applyBorder="1" applyAlignment="1">
      <alignment horizontal="center" vertical="center" wrapText="1"/>
    </xf>
    <xf numFmtId="3" fontId="20" fillId="26" borderId="14" xfId="0" applyNumberFormat="1" applyFont="1" applyFill="1" applyBorder="1" applyAlignment="1">
      <alignment horizontal="left" vertical="center" wrapText="1" indent="1"/>
    </xf>
    <xf numFmtId="0" fontId="9" fillId="26" borderId="0" xfId="0" applyFont="1" applyFill="1" applyBorder="1" applyAlignment="1">
      <alignment horizontal="left" vertical="center" wrapText="1" indent="1"/>
    </xf>
    <xf numFmtId="3" fontId="9" fillId="26" borderId="14" xfId="0" applyNumberFormat="1" applyFont="1" applyFill="1" applyBorder="1" applyAlignment="1">
      <alignment horizontal="left" vertical="center" wrapText="1" indent="1"/>
    </xf>
    <xf numFmtId="0" fontId="0" fillId="38" borderId="0" xfId="0" applyFont="1" applyFill="1" applyBorder="1" applyAlignment="1">
      <alignment vertical="center" wrapText="1"/>
    </xf>
    <xf numFmtId="3" fontId="0" fillId="32" borderId="11" xfId="0" applyNumberFormat="1" applyFill="1" applyBorder="1"/>
    <xf numFmtId="0" fontId="6" fillId="37" borderId="49" xfId="0" applyFont="1" applyFill="1" applyBorder="1" applyAlignment="1">
      <alignment vertical="center" wrapText="1"/>
    </xf>
    <xf numFmtId="0" fontId="6" fillId="37" borderId="50" xfId="0" applyFont="1" applyFill="1" applyBorder="1" applyAlignment="1">
      <alignment vertical="center" wrapText="1"/>
    </xf>
    <xf numFmtId="0" fontId="6" fillId="37" borderId="54" xfId="0" applyFont="1" applyFill="1" applyBorder="1" applyAlignment="1">
      <alignment vertical="center" wrapText="1"/>
    </xf>
    <xf numFmtId="0" fontId="19" fillId="37" borderId="1" xfId="0" applyFont="1" applyFill="1" applyBorder="1" applyAlignment="1">
      <alignment horizontal="left" vertical="center" wrapText="1"/>
    </xf>
    <xf numFmtId="0" fontId="39" fillId="36" borderId="15" xfId="0" applyFont="1" applyFill="1" applyBorder="1" applyAlignment="1">
      <alignment horizontal="center" vertical="center" wrapText="1"/>
    </xf>
    <xf numFmtId="0" fontId="39" fillId="36" borderId="16" xfId="0" applyFont="1" applyFill="1" applyBorder="1" applyAlignment="1">
      <alignment horizontal="center" vertical="center" wrapText="1"/>
    </xf>
    <xf numFmtId="0" fontId="39" fillId="36" borderId="25" xfId="0" applyFont="1" applyFill="1" applyBorder="1" applyAlignment="1">
      <alignment horizontal="center" vertical="center" wrapText="1"/>
    </xf>
    <xf numFmtId="0" fontId="6" fillId="37" borderId="47" xfId="0" applyFont="1" applyFill="1" applyBorder="1" applyAlignment="1">
      <alignment vertical="center" wrapText="1"/>
    </xf>
    <xf numFmtId="0" fontId="6" fillId="37" borderId="48" xfId="0" applyFont="1" applyFill="1" applyBorder="1" applyAlignment="1">
      <alignment vertical="center" wrapText="1"/>
    </xf>
    <xf numFmtId="0" fontId="6" fillId="37" borderId="53" xfId="0" applyFont="1" applyFill="1" applyBorder="1" applyAlignment="1">
      <alignment vertical="center" wrapText="1"/>
    </xf>
    <xf numFmtId="0" fontId="6" fillId="37" borderId="11" xfId="0" applyFont="1" applyFill="1" applyBorder="1" applyAlignment="1">
      <alignment vertical="center" wrapText="1"/>
    </xf>
    <xf numFmtId="0" fontId="6" fillId="37" borderId="37" xfId="0" applyFont="1" applyFill="1" applyBorder="1" applyAlignment="1">
      <alignment vertical="center" wrapText="1"/>
    </xf>
    <xf numFmtId="0" fontId="6" fillId="37" borderId="26" xfId="0" applyFont="1" applyFill="1" applyBorder="1" applyAlignment="1">
      <alignment vertical="center" wrapText="1"/>
    </xf>
    <xf numFmtId="0" fontId="8" fillId="37" borderId="1" xfId="0" applyFont="1" applyFill="1" applyBorder="1" applyAlignment="1">
      <alignment horizontal="left" vertical="center" wrapText="1"/>
    </xf>
    <xf numFmtId="0" fontId="8" fillId="37" borderId="1" xfId="0" applyFont="1" applyFill="1" applyBorder="1" applyAlignment="1">
      <alignment horizontal="center" vertical="center" wrapText="1"/>
    </xf>
    <xf numFmtId="0" fontId="37" fillId="35" borderId="16" xfId="0" applyFont="1" applyFill="1" applyBorder="1" applyAlignment="1">
      <alignment horizontal="center" vertical="center"/>
    </xf>
    <xf numFmtId="0" fontId="38" fillId="36" borderId="44" xfId="0" applyFont="1" applyFill="1" applyBorder="1" applyAlignment="1">
      <alignment horizontal="center" vertical="center" wrapText="1"/>
    </xf>
    <xf numFmtId="0" fontId="38" fillId="36" borderId="45" xfId="0" applyFont="1" applyFill="1" applyBorder="1" applyAlignment="1">
      <alignment horizontal="center" vertical="center" wrapText="1"/>
    </xf>
    <xf numFmtId="0" fontId="38" fillId="36" borderId="51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33" fillId="30" borderId="28" xfId="0" applyFont="1" applyFill="1" applyBorder="1" applyAlignment="1">
      <alignment horizontal="center"/>
    </xf>
    <xf numFmtId="0" fontId="35" fillId="33" borderId="39" xfId="0" applyFont="1" applyFill="1" applyBorder="1" applyAlignment="1">
      <alignment horizontal="center" vertical="center"/>
    </xf>
    <xf numFmtId="0" fontId="35" fillId="33" borderId="40" xfId="0" applyFont="1" applyFill="1" applyBorder="1" applyAlignment="1">
      <alignment horizontal="center" vertical="center"/>
    </xf>
    <xf numFmtId="0" fontId="35" fillId="33" borderId="16" xfId="0" applyFont="1" applyFill="1" applyBorder="1" applyAlignment="1">
      <alignment horizontal="center" vertical="center"/>
    </xf>
    <xf numFmtId="0" fontId="36" fillId="34" borderId="16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26" fillId="10" borderId="15" xfId="0" applyFont="1" applyFill="1" applyBorder="1" applyAlignment="1">
      <alignment horizontal="center" vertical="center" wrapText="1"/>
    </xf>
    <xf numFmtId="0" fontId="26" fillId="10" borderId="16" xfId="0" applyFont="1" applyFill="1" applyBorder="1" applyAlignment="1">
      <alignment horizontal="center" vertical="center" wrapText="1"/>
    </xf>
    <xf numFmtId="0" fontId="26" fillId="10" borderId="25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99CC"/>
      <color rgb="FF979406"/>
      <color rgb="FF0000FF"/>
      <color rgb="FFFF3399"/>
      <color rgb="FF54184E"/>
      <color rgb="FFD121B8"/>
      <color rgb="FFCACA08"/>
      <color rgb="FF5E53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M323"/>
  <sheetViews>
    <sheetView tabSelected="1" topLeftCell="A298" zoomScale="63" zoomScaleNormal="63" workbookViewId="0">
      <selection activeCell="A130" sqref="A130:A131"/>
    </sheetView>
  </sheetViews>
  <sheetFormatPr defaultColWidth="9" defaultRowHeight="14"/>
  <cols>
    <col min="1" max="1" width="17.6328125" customWidth="1"/>
    <col min="2" max="2" width="18.453125" customWidth="1"/>
    <col min="3" max="3" width="17.453125" customWidth="1"/>
    <col min="4" max="4" width="15.6328125" customWidth="1"/>
    <col min="5" max="5" width="26" customWidth="1"/>
    <col min="6" max="6" width="18.453125" customWidth="1"/>
    <col min="7" max="7" width="54" customWidth="1"/>
    <col min="8" max="8" width="11.453125" customWidth="1"/>
    <col min="9" max="9" width="19.7265625" customWidth="1"/>
    <col min="10" max="10" width="21" customWidth="1"/>
    <col min="11" max="11" width="13.81640625" customWidth="1"/>
    <col min="12" max="12" width="15" customWidth="1"/>
    <col min="13" max="13" width="13.26953125" customWidth="1"/>
    <col min="14" max="14" width="12.6328125" customWidth="1"/>
    <col min="15" max="16" width="17.81640625" customWidth="1"/>
    <col min="17" max="17" width="13.81640625" customWidth="1"/>
    <col min="18" max="18" width="19.90625" customWidth="1"/>
  </cols>
  <sheetData>
    <row r="1" spans="1:12" ht="52.5" customHeight="1">
      <c r="A1" s="363" t="s">
        <v>0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</row>
    <row r="2" spans="1:12" ht="16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3.5" customHeight="1">
      <c r="A3" s="364" t="s">
        <v>1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</row>
    <row r="4" spans="1:12" ht="53" customHeight="1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05" t="s">
        <v>13</v>
      </c>
    </row>
    <row r="5" spans="1:12" ht="27" customHeight="1">
      <c r="A5" s="17">
        <v>1</v>
      </c>
      <c r="B5" s="18" t="s">
        <v>14</v>
      </c>
      <c r="C5" s="18" t="s">
        <v>15</v>
      </c>
      <c r="D5" s="18" t="s">
        <v>14</v>
      </c>
      <c r="E5" s="19">
        <f>(E18)</f>
        <v>1366000</v>
      </c>
      <c r="F5" s="19">
        <f>(F18)</f>
        <v>797500</v>
      </c>
      <c r="G5" s="18" t="s">
        <v>14</v>
      </c>
      <c r="H5" s="18">
        <f>SUM(H6:H16)</f>
        <v>0</v>
      </c>
      <c r="I5" s="18">
        <f>SUM(I6:I16)</f>
        <v>878000</v>
      </c>
      <c r="J5" s="18" t="s">
        <v>14</v>
      </c>
      <c r="K5" s="18" t="s">
        <v>14</v>
      </c>
      <c r="L5" s="106" t="s">
        <v>14</v>
      </c>
    </row>
    <row r="6" spans="1:12" ht="36" customHeight="1">
      <c r="A6" s="20">
        <v>1.1000000000000001</v>
      </c>
      <c r="B6" s="21">
        <v>45971</v>
      </c>
      <c r="C6" s="22" t="s">
        <v>16</v>
      </c>
      <c r="D6" s="22" t="s">
        <v>17</v>
      </c>
      <c r="E6" s="23">
        <v>300000</v>
      </c>
      <c r="F6" s="23">
        <v>300000</v>
      </c>
      <c r="G6" s="22" t="s">
        <v>18</v>
      </c>
      <c r="H6" s="22" t="s">
        <v>14</v>
      </c>
      <c r="I6" s="107"/>
      <c r="J6" s="108">
        <f>(E6-I6)</f>
        <v>300000</v>
      </c>
      <c r="K6" s="22" t="s">
        <v>19</v>
      </c>
      <c r="L6" s="109" t="s">
        <v>20</v>
      </c>
    </row>
    <row r="7" spans="1:12" ht="36" customHeight="1">
      <c r="A7" s="24">
        <v>1.2</v>
      </c>
      <c r="B7" s="25"/>
      <c r="C7" s="26" t="s">
        <v>16</v>
      </c>
      <c r="D7" s="27" t="s">
        <v>21</v>
      </c>
      <c r="E7" s="28">
        <v>70000</v>
      </c>
      <c r="F7" s="28">
        <v>70000</v>
      </c>
      <c r="G7" s="26" t="s">
        <v>18</v>
      </c>
      <c r="H7" s="26" t="s">
        <v>14</v>
      </c>
      <c r="I7" s="26">
        <v>70000</v>
      </c>
      <c r="J7" s="110">
        <f t="shared" ref="J7:J17" si="0">(E7-I7)</f>
        <v>0</v>
      </c>
      <c r="K7" s="26" t="s">
        <v>22</v>
      </c>
      <c r="L7" s="111" t="s">
        <v>20</v>
      </c>
    </row>
    <row r="8" spans="1:12" ht="36" customHeight="1">
      <c r="A8" s="24">
        <v>1.3</v>
      </c>
      <c r="B8" s="25"/>
      <c r="C8" s="26" t="s">
        <v>16</v>
      </c>
      <c r="D8" s="27" t="s">
        <v>23</v>
      </c>
      <c r="E8" s="28">
        <v>250000</v>
      </c>
      <c r="F8" s="28">
        <v>250000</v>
      </c>
      <c r="G8" s="26" t="s">
        <v>18</v>
      </c>
      <c r="H8" s="26" t="s">
        <v>14</v>
      </c>
      <c r="I8" s="112">
        <v>250000</v>
      </c>
      <c r="J8" s="110">
        <f t="shared" si="0"/>
        <v>0</v>
      </c>
      <c r="K8" s="26" t="s">
        <v>24</v>
      </c>
      <c r="L8" s="111" t="s">
        <v>20</v>
      </c>
    </row>
    <row r="9" spans="1:12" ht="36" customHeight="1">
      <c r="A9" s="24">
        <v>1.4</v>
      </c>
      <c r="B9" s="25" t="s">
        <v>25</v>
      </c>
      <c r="C9" s="26" t="s">
        <v>16</v>
      </c>
      <c r="D9" s="27" t="s">
        <v>26</v>
      </c>
      <c r="E9" s="28">
        <v>60000</v>
      </c>
      <c r="F9" s="28">
        <v>12000</v>
      </c>
      <c r="G9" s="26" t="s">
        <v>27</v>
      </c>
      <c r="H9" s="26"/>
      <c r="I9" s="112">
        <v>50000</v>
      </c>
      <c r="J9" s="110">
        <f t="shared" si="0"/>
        <v>10000</v>
      </c>
      <c r="K9" s="26" t="s">
        <v>28</v>
      </c>
      <c r="L9" s="111" t="s">
        <v>29</v>
      </c>
    </row>
    <row r="10" spans="1:12" ht="36" customHeight="1">
      <c r="A10" s="24">
        <v>1.5</v>
      </c>
      <c r="B10" s="25"/>
      <c r="C10" s="26" t="s">
        <v>16</v>
      </c>
      <c r="D10" s="27" t="s">
        <v>30</v>
      </c>
      <c r="E10" s="28">
        <v>50000</v>
      </c>
      <c r="F10" s="28">
        <v>12500</v>
      </c>
      <c r="G10" s="26" t="s">
        <v>31</v>
      </c>
      <c r="H10" s="26" t="s">
        <v>14</v>
      </c>
      <c r="I10" s="112"/>
      <c r="J10" s="110">
        <f>(E10-I10)</f>
        <v>50000</v>
      </c>
      <c r="K10" s="26" t="s">
        <v>32</v>
      </c>
      <c r="L10" s="111" t="s">
        <v>29</v>
      </c>
    </row>
    <row r="11" spans="1:12" ht="36" customHeight="1">
      <c r="A11" s="24">
        <v>1.6</v>
      </c>
      <c r="B11" s="25">
        <v>45987</v>
      </c>
      <c r="C11" s="26" t="s">
        <v>16</v>
      </c>
      <c r="D11" s="27" t="s">
        <v>33</v>
      </c>
      <c r="E11" s="28">
        <v>180000</v>
      </c>
      <c r="F11" s="28">
        <v>15000</v>
      </c>
      <c r="G11" s="26" t="s">
        <v>34</v>
      </c>
      <c r="H11" s="26" t="s">
        <v>14</v>
      </c>
      <c r="I11" s="112">
        <v>80000</v>
      </c>
      <c r="J11" s="110">
        <f t="shared" si="0"/>
        <v>100000</v>
      </c>
      <c r="K11" s="26" t="s">
        <v>35</v>
      </c>
      <c r="L11" s="111" t="s">
        <v>29</v>
      </c>
    </row>
    <row r="12" spans="1:12" ht="36" customHeight="1">
      <c r="A12" s="24">
        <v>1.7</v>
      </c>
      <c r="B12" s="25"/>
      <c r="C12" s="26" t="s">
        <v>16</v>
      </c>
      <c r="D12" s="27" t="s">
        <v>36</v>
      </c>
      <c r="E12" s="28">
        <v>45000</v>
      </c>
      <c r="F12" s="28">
        <v>15000</v>
      </c>
      <c r="G12" s="26" t="s">
        <v>37</v>
      </c>
      <c r="H12" s="26" t="s">
        <v>14</v>
      </c>
      <c r="I12" s="112">
        <v>50000</v>
      </c>
      <c r="J12" s="110">
        <f t="shared" si="0"/>
        <v>-5000</v>
      </c>
      <c r="K12" s="26" t="s">
        <v>38</v>
      </c>
      <c r="L12" s="111" t="s">
        <v>29</v>
      </c>
    </row>
    <row r="13" spans="1:12" ht="84" customHeight="1">
      <c r="A13" s="24">
        <v>1.8</v>
      </c>
      <c r="B13" s="25" t="s">
        <v>510</v>
      </c>
      <c r="C13" s="26" t="s">
        <v>16</v>
      </c>
      <c r="D13" s="27" t="s">
        <v>515</v>
      </c>
      <c r="E13" s="28">
        <v>256000</v>
      </c>
      <c r="F13" s="28">
        <v>8000</v>
      </c>
      <c r="G13" s="26" t="s">
        <v>39</v>
      </c>
      <c r="H13" s="26"/>
      <c r="I13" s="112">
        <v>255000</v>
      </c>
      <c r="J13" s="110">
        <f t="shared" si="0"/>
        <v>1000</v>
      </c>
      <c r="K13" s="26" t="s">
        <v>40</v>
      </c>
      <c r="L13" s="111" t="s">
        <v>29</v>
      </c>
    </row>
    <row r="14" spans="1:12" ht="36" customHeight="1">
      <c r="A14" s="24">
        <v>1.9</v>
      </c>
      <c r="B14" s="25"/>
      <c r="C14" s="26" t="s">
        <v>16</v>
      </c>
      <c r="D14" s="27" t="s">
        <v>41</v>
      </c>
      <c r="E14" s="28">
        <v>40000</v>
      </c>
      <c r="F14" s="28">
        <v>20000</v>
      </c>
      <c r="G14" s="26" t="s">
        <v>42</v>
      </c>
      <c r="H14" s="26" t="s">
        <v>14</v>
      </c>
      <c r="I14" s="112"/>
      <c r="J14" s="110">
        <f t="shared" si="0"/>
        <v>40000</v>
      </c>
      <c r="K14" s="26" t="s">
        <v>43</v>
      </c>
      <c r="L14" s="111" t="s">
        <v>29</v>
      </c>
    </row>
    <row r="15" spans="1:12" ht="36" customHeight="1">
      <c r="A15" s="24">
        <v>1.1000000000000001</v>
      </c>
      <c r="B15" s="25" t="s">
        <v>44</v>
      </c>
      <c r="C15" s="26" t="s">
        <v>16</v>
      </c>
      <c r="D15" s="27" t="s">
        <v>45</v>
      </c>
      <c r="E15" s="28">
        <v>75000</v>
      </c>
      <c r="F15" s="28">
        <v>25000</v>
      </c>
      <c r="G15" s="26" t="s">
        <v>37</v>
      </c>
      <c r="H15" s="26"/>
      <c r="I15" s="112">
        <v>75000</v>
      </c>
      <c r="J15" s="110">
        <f t="shared" si="0"/>
        <v>0</v>
      </c>
      <c r="K15" s="26" t="s">
        <v>46</v>
      </c>
      <c r="L15" s="111" t="s">
        <v>29</v>
      </c>
    </row>
    <row r="16" spans="1:12" ht="36" customHeight="1">
      <c r="A16" s="29">
        <v>1.1100000000000001</v>
      </c>
      <c r="B16" s="30" t="s">
        <v>491</v>
      </c>
      <c r="C16" s="31" t="s">
        <v>16</v>
      </c>
      <c r="D16" s="32" t="s">
        <v>47</v>
      </c>
      <c r="E16" s="33">
        <v>40000</v>
      </c>
      <c r="F16" s="33">
        <v>40000</v>
      </c>
      <c r="G16" s="31" t="s">
        <v>48</v>
      </c>
      <c r="H16" s="31" t="s">
        <v>14</v>
      </c>
      <c r="I16" s="113">
        <v>48000</v>
      </c>
      <c r="J16" s="114">
        <f t="shared" si="0"/>
        <v>-8000</v>
      </c>
      <c r="K16" s="31" t="s">
        <v>49</v>
      </c>
      <c r="L16" s="115" t="s">
        <v>29</v>
      </c>
    </row>
    <row r="17" spans="1:45" s="1" customFormat="1" ht="36" customHeight="1">
      <c r="A17" s="26">
        <v>1.1200000000000001</v>
      </c>
      <c r="B17" s="25" t="s">
        <v>50</v>
      </c>
      <c r="C17" s="26" t="s">
        <v>51</v>
      </c>
      <c r="D17" s="27" t="s">
        <v>52</v>
      </c>
      <c r="E17" s="28">
        <v>30000</v>
      </c>
      <c r="F17" s="28">
        <v>30000</v>
      </c>
      <c r="G17" s="26" t="s">
        <v>53</v>
      </c>
      <c r="H17" s="26"/>
      <c r="I17" s="112">
        <v>30000</v>
      </c>
      <c r="J17" s="110">
        <f t="shared" si="0"/>
        <v>0</v>
      </c>
      <c r="K17" s="26"/>
      <c r="L17" s="116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40"/>
    </row>
    <row r="18" spans="1:45" s="2" customFormat="1" ht="50.5" customHeight="1">
      <c r="A18" s="366" t="s">
        <v>54</v>
      </c>
      <c r="B18" s="366"/>
      <c r="C18" s="366"/>
      <c r="D18" s="367"/>
      <c r="E18" s="34">
        <f>SUM(E6:E16)</f>
        <v>1366000</v>
      </c>
      <c r="F18" s="34">
        <f>SUM(F6:F17)</f>
        <v>797500</v>
      </c>
      <c r="G18" s="35"/>
      <c r="H18" s="35">
        <f>SUM(H6:H17)</f>
        <v>0</v>
      </c>
      <c r="I18" s="118">
        <f>SUM(I6:I17)</f>
        <v>908000</v>
      </c>
      <c r="J18" s="119">
        <f>SUM(J6:J17)</f>
        <v>488000</v>
      </c>
      <c r="K18" s="120"/>
      <c r="L18" s="12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45" s="3" customFormat="1" ht="20.5" customHeight="1">
      <c r="A19" s="36"/>
      <c r="B19" s="37"/>
      <c r="C19" s="36"/>
      <c r="D19" s="38"/>
      <c r="E19" s="39"/>
      <c r="F19" s="39"/>
      <c r="G19" s="36"/>
      <c r="H19" s="36"/>
      <c r="I19" s="122"/>
      <c r="J19" s="122"/>
      <c r="K19" s="36"/>
      <c r="L19" s="36"/>
    </row>
    <row r="20" spans="1:45" s="4" customFormat="1" ht="54.5" customHeight="1">
      <c r="A20" s="15" t="s">
        <v>2</v>
      </c>
      <c r="B20" s="16" t="s">
        <v>3</v>
      </c>
      <c r="C20" s="16" t="s">
        <v>4</v>
      </c>
      <c r="D20" s="16" t="s">
        <v>5</v>
      </c>
      <c r="E20" s="16" t="s">
        <v>6</v>
      </c>
      <c r="F20" s="16" t="s">
        <v>7</v>
      </c>
      <c r="G20" s="16" t="s">
        <v>8</v>
      </c>
      <c r="H20" s="16" t="s">
        <v>9</v>
      </c>
      <c r="I20" s="16" t="s">
        <v>10</v>
      </c>
      <c r="J20" s="16" t="s">
        <v>11</v>
      </c>
      <c r="K20" s="16" t="s">
        <v>12</v>
      </c>
      <c r="L20" s="105" t="s">
        <v>13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 spans="1:45" ht="36" customHeight="1">
      <c r="A21" s="40">
        <v>2</v>
      </c>
      <c r="B21" s="40" t="s">
        <v>14</v>
      </c>
      <c r="C21" s="40" t="s">
        <v>55</v>
      </c>
      <c r="D21" s="40" t="s">
        <v>14</v>
      </c>
      <c r="E21" s="41">
        <f>SUM(E22:E46)</f>
        <v>4952200</v>
      </c>
      <c r="F21" s="41">
        <f>SUM(F22:F24,F28:F46)</f>
        <v>511549.97599999997</v>
      </c>
      <c r="G21" s="40" t="s">
        <v>14</v>
      </c>
      <c r="H21" s="40" t="s">
        <v>14</v>
      </c>
      <c r="I21" s="41">
        <f>SUM(I22:I46)</f>
        <v>3216599.8499139999</v>
      </c>
      <c r="J21" s="41">
        <f>(E21-I21)</f>
        <v>1735600.1500860001</v>
      </c>
      <c r="K21" s="40" t="s">
        <v>14</v>
      </c>
      <c r="L21" s="40" t="s">
        <v>14</v>
      </c>
    </row>
    <row r="22" spans="1:45" ht="36" customHeight="1">
      <c r="A22" s="42">
        <v>2.1</v>
      </c>
      <c r="B22" s="43">
        <v>45971</v>
      </c>
      <c r="C22" s="44" t="s">
        <v>56</v>
      </c>
      <c r="D22" s="44" t="s">
        <v>57</v>
      </c>
      <c r="E22" s="45">
        <v>336000</v>
      </c>
      <c r="F22" s="46">
        <v>10050</v>
      </c>
      <c r="G22" s="47">
        <v>32</v>
      </c>
      <c r="H22" s="48" t="s">
        <v>508</v>
      </c>
      <c r="I22" s="45">
        <f>(F22*G22)</f>
        <v>321600</v>
      </c>
      <c r="J22" s="123">
        <f>(E22-I22)</f>
        <v>14400</v>
      </c>
      <c r="K22" s="44" t="s">
        <v>58</v>
      </c>
      <c r="L22" s="124" t="s">
        <v>509</v>
      </c>
    </row>
    <row r="23" spans="1:45" ht="36" customHeight="1">
      <c r="A23" s="49">
        <v>2.2000000000000002</v>
      </c>
      <c r="B23" s="50">
        <v>45973</v>
      </c>
      <c r="C23" s="51" t="s">
        <v>56</v>
      </c>
      <c r="D23" s="47" t="s">
        <v>59</v>
      </c>
      <c r="E23" s="52">
        <v>105000</v>
      </c>
      <c r="F23" s="46">
        <v>47000</v>
      </c>
      <c r="G23" s="47">
        <v>1</v>
      </c>
      <c r="H23" s="53"/>
      <c r="I23" s="45">
        <f>(F23*G23)</f>
        <v>47000</v>
      </c>
      <c r="J23" s="123">
        <f t="shared" ref="J23:J47" si="1">(E23-I23)</f>
        <v>58000</v>
      </c>
      <c r="K23" s="44" t="s">
        <v>60</v>
      </c>
      <c r="L23" s="125"/>
    </row>
    <row r="24" spans="1:45" ht="36" customHeight="1">
      <c r="A24" s="49">
        <v>2.2999999999999998</v>
      </c>
      <c r="B24" s="50">
        <v>45973</v>
      </c>
      <c r="C24" s="51" t="s">
        <v>56</v>
      </c>
      <c r="D24" s="54" t="s">
        <v>61</v>
      </c>
      <c r="E24" s="55">
        <v>304000</v>
      </c>
      <c r="F24" s="56">
        <v>315000</v>
      </c>
      <c r="G24" s="54">
        <v>1</v>
      </c>
      <c r="H24" s="55"/>
      <c r="I24" s="52">
        <f t="shared" ref="I24:I45" si="2">(F24*G24)</f>
        <v>315000</v>
      </c>
      <c r="J24" s="126">
        <f t="shared" si="1"/>
        <v>-11000</v>
      </c>
      <c r="K24" s="44" t="s">
        <v>62</v>
      </c>
      <c r="L24" s="125"/>
    </row>
    <row r="25" spans="1:45" ht="36" customHeight="1">
      <c r="A25" s="49"/>
      <c r="B25" s="50"/>
      <c r="C25" s="57"/>
      <c r="D25" s="58" t="s">
        <v>63</v>
      </c>
      <c r="E25" s="59"/>
      <c r="F25" s="59">
        <v>7400</v>
      </c>
      <c r="G25" s="60">
        <v>1</v>
      </c>
      <c r="H25" s="59"/>
      <c r="I25" s="59"/>
      <c r="J25" s="127"/>
      <c r="K25" s="128"/>
      <c r="L25" s="125"/>
    </row>
    <row r="26" spans="1:45" ht="36" customHeight="1">
      <c r="A26" s="49"/>
      <c r="B26" s="50"/>
      <c r="C26" s="57"/>
      <c r="D26" s="61" t="s">
        <v>64</v>
      </c>
      <c r="E26" s="62"/>
      <c r="F26" s="62">
        <v>8900</v>
      </c>
      <c r="G26" s="63">
        <v>16</v>
      </c>
      <c r="H26" s="62"/>
      <c r="I26" s="62"/>
      <c r="J26" s="129"/>
      <c r="K26" s="128"/>
      <c r="L26" s="125"/>
    </row>
    <row r="27" spans="1:45" ht="36" customHeight="1">
      <c r="A27" s="49"/>
      <c r="B27" s="50"/>
      <c r="C27" s="57"/>
      <c r="D27" s="61" t="s">
        <v>65</v>
      </c>
      <c r="E27" s="62"/>
      <c r="F27" s="62">
        <v>15900</v>
      </c>
      <c r="G27" s="63">
        <v>1</v>
      </c>
      <c r="H27" s="62"/>
      <c r="I27" s="62"/>
      <c r="J27" s="129"/>
      <c r="K27" s="128"/>
      <c r="L27" s="125"/>
    </row>
    <row r="28" spans="1:45" ht="36" customHeight="1">
      <c r="A28" s="49">
        <v>2.4</v>
      </c>
      <c r="B28" s="50">
        <v>45971</v>
      </c>
      <c r="C28" s="57" t="s">
        <v>56</v>
      </c>
      <c r="D28" s="64" t="s">
        <v>66</v>
      </c>
      <c r="E28" s="65">
        <v>261000</v>
      </c>
      <c r="F28" s="66">
        <f>SUM(F25:F27)</f>
        <v>32200</v>
      </c>
      <c r="G28" s="67">
        <v>5.1335403700000004</v>
      </c>
      <c r="H28" s="68" t="s">
        <v>504</v>
      </c>
      <c r="I28" s="130">
        <f t="shared" si="2"/>
        <v>165299.99991400001</v>
      </c>
      <c r="J28" s="131">
        <f t="shared" si="1"/>
        <v>95700.000085999985</v>
      </c>
      <c r="K28" s="128" t="s">
        <v>67</v>
      </c>
      <c r="L28" s="132" t="s">
        <v>506</v>
      </c>
    </row>
    <row r="29" spans="1:45" ht="36" customHeight="1">
      <c r="A29" s="49">
        <v>2.5</v>
      </c>
      <c r="B29" s="50">
        <v>45971</v>
      </c>
      <c r="C29" s="51" t="s">
        <v>56</v>
      </c>
      <c r="D29" s="69" t="s">
        <v>68</v>
      </c>
      <c r="E29" s="70">
        <v>9000</v>
      </c>
      <c r="F29" s="71">
        <v>10000</v>
      </c>
      <c r="G29" s="69">
        <v>1</v>
      </c>
      <c r="H29" s="72" t="s">
        <v>505</v>
      </c>
      <c r="I29" s="70">
        <v>10000</v>
      </c>
      <c r="J29" s="133">
        <f t="shared" si="1"/>
        <v>-1000</v>
      </c>
      <c r="K29" s="44" t="s">
        <v>69</v>
      </c>
      <c r="L29" s="132" t="s">
        <v>507</v>
      </c>
    </row>
    <row r="30" spans="1:45" ht="36" customHeight="1">
      <c r="A30" s="49">
        <v>2.6</v>
      </c>
      <c r="B30" s="50">
        <v>45973</v>
      </c>
      <c r="C30" s="51" t="s">
        <v>56</v>
      </c>
      <c r="D30" s="47" t="s">
        <v>70</v>
      </c>
      <c r="E30" s="45">
        <v>90000</v>
      </c>
      <c r="F30" s="46">
        <v>25000</v>
      </c>
      <c r="G30" s="47">
        <v>2</v>
      </c>
      <c r="H30" s="53"/>
      <c r="I30" s="45">
        <f t="shared" si="2"/>
        <v>50000</v>
      </c>
      <c r="J30" s="123">
        <f t="shared" si="1"/>
        <v>40000</v>
      </c>
      <c r="K30" s="44" t="s">
        <v>71</v>
      </c>
      <c r="L30" s="125"/>
    </row>
    <row r="31" spans="1:45" ht="36" customHeight="1">
      <c r="A31" s="49">
        <v>2.7</v>
      </c>
      <c r="B31" s="50">
        <v>45979</v>
      </c>
      <c r="C31" s="51" t="s">
        <v>56</v>
      </c>
      <c r="D31" s="47" t="s">
        <v>72</v>
      </c>
      <c r="E31" s="45">
        <v>220000</v>
      </c>
      <c r="F31" s="46">
        <v>2800</v>
      </c>
      <c r="G31" s="47">
        <v>20</v>
      </c>
      <c r="H31" s="53"/>
      <c r="I31" s="45">
        <f t="shared" si="2"/>
        <v>56000</v>
      </c>
      <c r="J31" s="123">
        <f t="shared" si="1"/>
        <v>164000</v>
      </c>
      <c r="K31" s="44" t="s">
        <v>73</v>
      </c>
      <c r="L31" s="125"/>
    </row>
    <row r="32" spans="1:45" ht="36" customHeight="1">
      <c r="A32" s="49">
        <v>2.8</v>
      </c>
      <c r="B32" s="50">
        <v>45979</v>
      </c>
      <c r="C32" s="51" t="s">
        <v>56</v>
      </c>
      <c r="D32" s="47" t="s">
        <v>74</v>
      </c>
      <c r="E32" s="45">
        <v>375000</v>
      </c>
      <c r="F32" s="46">
        <v>17272.72</v>
      </c>
      <c r="G32" s="47">
        <v>11</v>
      </c>
      <c r="H32" s="53"/>
      <c r="I32" s="45">
        <f t="shared" si="2"/>
        <v>189999.92</v>
      </c>
      <c r="J32" s="123">
        <f t="shared" si="1"/>
        <v>185000.08</v>
      </c>
      <c r="K32" s="44" t="s">
        <v>75</v>
      </c>
      <c r="L32" s="125"/>
    </row>
    <row r="33" spans="1:61" ht="36" customHeight="1">
      <c r="A33" s="49">
        <v>2.9</v>
      </c>
      <c r="B33" s="50">
        <v>45979</v>
      </c>
      <c r="C33" s="51" t="s">
        <v>56</v>
      </c>
      <c r="D33" s="47" t="s">
        <v>76</v>
      </c>
      <c r="E33" s="45">
        <v>90000</v>
      </c>
      <c r="F33" s="46">
        <v>9500</v>
      </c>
      <c r="G33" s="47">
        <v>4</v>
      </c>
      <c r="H33" s="53"/>
      <c r="I33" s="45">
        <f t="shared" si="2"/>
        <v>38000</v>
      </c>
      <c r="J33" s="123">
        <f t="shared" si="1"/>
        <v>52000</v>
      </c>
      <c r="K33" s="44" t="s">
        <v>77</v>
      </c>
      <c r="L33" s="125"/>
    </row>
    <row r="34" spans="1:61" ht="36" customHeight="1">
      <c r="A34" s="49"/>
      <c r="B34" s="50"/>
      <c r="C34" s="73"/>
      <c r="D34" s="74" t="s">
        <v>78</v>
      </c>
      <c r="E34" s="75"/>
      <c r="F34" s="76">
        <v>11818.18</v>
      </c>
      <c r="G34" s="74">
        <v>16.5</v>
      </c>
      <c r="H34" s="77"/>
      <c r="I34" s="75"/>
      <c r="J34" s="123"/>
      <c r="K34" s="44"/>
      <c r="L34" s="125"/>
    </row>
    <row r="35" spans="1:61" ht="36" customHeight="1">
      <c r="A35" s="49"/>
      <c r="B35" s="50"/>
      <c r="C35" s="73"/>
      <c r="D35" s="74" t="s">
        <v>79</v>
      </c>
      <c r="E35" s="75"/>
      <c r="F35" s="76">
        <v>8181.81</v>
      </c>
      <c r="G35" s="74">
        <v>38.5</v>
      </c>
      <c r="H35" s="77"/>
      <c r="I35" s="75"/>
      <c r="J35" s="123"/>
      <c r="K35" s="44"/>
      <c r="L35" s="125"/>
    </row>
    <row r="36" spans="1:61" ht="36" customHeight="1">
      <c r="A36" s="49"/>
      <c r="B36" s="50"/>
      <c r="C36" s="73"/>
      <c r="D36" s="74" t="s">
        <v>80</v>
      </c>
      <c r="E36" s="75"/>
      <c r="F36" s="76">
        <v>6363.6360000000004</v>
      </c>
      <c r="G36" s="74">
        <v>88</v>
      </c>
      <c r="H36" s="77"/>
      <c r="I36" s="75"/>
      <c r="J36" s="123"/>
      <c r="K36" s="44"/>
      <c r="L36" s="125"/>
    </row>
    <row r="37" spans="1:61" ht="36" customHeight="1">
      <c r="A37" s="49">
        <v>2.1</v>
      </c>
      <c r="B37" s="50">
        <v>45979</v>
      </c>
      <c r="C37" s="78" t="s">
        <v>56</v>
      </c>
      <c r="D37" s="79" t="s">
        <v>81</v>
      </c>
      <c r="E37" s="80">
        <v>943000</v>
      </c>
      <c r="F37" s="81"/>
      <c r="G37" s="79">
        <v>115</v>
      </c>
      <c r="H37" s="82"/>
      <c r="I37" s="80">
        <f>(1070000-304000)</f>
        <v>766000</v>
      </c>
      <c r="J37" s="123">
        <f t="shared" si="1"/>
        <v>177000</v>
      </c>
      <c r="K37" s="44" t="s">
        <v>82</v>
      </c>
      <c r="L37" s="125"/>
    </row>
    <row r="38" spans="1:61" ht="36" customHeight="1">
      <c r="A38" s="49">
        <v>2.11</v>
      </c>
      <c r="B38" s="50">
        <v>45979</v>
      </c>
      <c r="C38" s="51" t="s">
        <v>56</v>
      </c>
      <c r="D38" s="47" t="s">
        <v>83</v>
      </c>
      <c r="E38" s="45">
        <v>519000</v>
      </c>
      <c r="F38" s="46">
        <v>16363.63</v>
      </c>
      <c r="G38" s="47">
        <v>11</v>
      </c>
      <c r="H38" s="53"/>
      <c r="I38" s="45">
        <f t="shared" si="2"/>
        <v>179999.93</v>
      </c>
      <c r="J38" s="123">
        <f t="shared" si="1"/>
        <v>339000.07</v>
      </c>
      <c r="K38" s="44" t="s">
        <v>84</v>
      </c>
      <c r="L38" s="125"/>
    </row>
    <row r="39" spans="1:61" ht="36" customHeight="1">
      <c r="A39" s="49">
        <v>2.12</v>
      </c>
      <c r="B39" s="50">
        <v>45987</v>
      </c>
      <c r="C39" s="51" t="s">
        <v>56</v>
      </c>
      <c r="D39" s="47" t="s">
        <v>85</v>
      </c>
      <c r="E39" s="45">
        <v>927000</v>
      </c>
      <c r="F39" s="46"/>
      <c r="G39" s="47">
        <v>61.8</v>
      </c>
      <c r="H39" s="53"/>
      <c r="I39" s="45">
        <v>585400</v>
      </c>
      <c r="J39" s="123">
        <f t="shared" si="1"/>
        <v>341600</v>
      </c>
      <c r="K39" s="44" t="s">
        <v>86</v>
      </c>
      <c r="L39" s="125"/>
    </row>
    <row r="40" spans="1:61" ht="36" customHeight="1">
      <c r="A40" s="49">
        <v>2.13</v>
      </c>
      <c r="B40" s="50">
        <v>45997</v>
      </c>
      <c r="C40" s="51" t="s">
        <v>56</v>
      </c>
      <c r="D40" s="47" t="s">
        <v>87</v>
      </c>
      <c r="E40" s="45">
        <v>90000</v>
      </c>
      <c r="F40" s="46"/>
      <c r="G40" s="47">
        <v>6</v>
      </c>
      <c r="H40" s="53"/>
      <c r="I40" s="45">
        <v>75000</v>
      </c>
      <c r="J40" s="123">
        <f t="shared" si="1"/>
        <v>15000</v>
      </c>
      <c r="K40" s="44" t="s">
        <v>88</v>
      </c>
      <c r="L40" s="125"/>
    </row>
    <row r="41" spans="1:61" ht="36" customHeight="1">
      <c r="A41" s="49">
        <v>2.14</v>
      </c>
      <c r="B41" s="50">
        <v>45997</v>
      </c>
      <c r="C41" s="51" t="s">
        <v>56</v>
      </c>
      <c r="D41" s="47" t="s">
        <v>89</v>
      </c>
      <c r="E41" s="45">
        <v>45000</v>
      </c>
      <c r="F41" s="46"/>
      <c r="G41" s="47">
        <v>1</v>
      </c>
      <c r="H41" s="53"/>
      <c r="I41" s="45">
        <v>100000</v>
      </c>
      <c r="J41" s="123">
        <f t="shared" si="1"/>
        <v>-55000</v>
      </c>
      <c r="K41" s="44" t="s">
        <v>90</v>
      </c>
      <c r="L41" s="125"/>
    </row>
    <row r="42" spans="1:61" ht="36" customHeight="1">
      <c r="A42" s="49">
        <v>2.15</v>
      </c>
      <c r="B42" s="50">
        <v>45997</v>
      </c>
      <c r="C42" s="51" t="s">
        <v>56</v>
      </c>
      <c r="D42" s="47" t="s">
        <v>91</v>
      </c>
      <c r="E42" s="45">
        <v>315000</v>
      </c>
      <c r="F42" s="46"/>
      <c r="G42" s="47">
        <v>15</v>
      </c>
      <c r="H42" s="53"/>
      <c r="I42" s="45">
        <v>250000</v>
      </c>
      <c r="J42" s="123">
        <f t="shared" si="1"/>
        <v>65000</v>
      </c>
      <c r="K42" s="44" t="s">
        <v>92</v>
      </c>
      <c r="L42" s="125"/>
    </row>
    <row r="43" spans="1:61" ht="36" customHeight="1">
      <c r="A43" s="49">
        <v>2.16</v>
      </c>
      <c r="B43" s="50">
        <v>45997</v>
      </c>
      <c r="C43" s="51" t="s">
        <v>56</v>
      </c>
      <c r="D43" s="47" t="s">
        <v>474</v>
      </c>
      <c r="E43" s="45">
        <v>3200</v>
      </c>
      <c r="F43" s="46"/>
      <c r="G43" s="47">
        <v>8</v>
      </c>
      <c r="H43" s="53"/>
      <c r="I43" s="45">
        <v>22300</v>
      </c>
      <c r="J43" s="123">
        <f t="shared" si="1"/>
        <v>-19100</v>
      </c>
      <c r="K43" s="44" t="s">
        <v>93</v>
      </c>
      <c r="L43" s="125"/>
    </row>
    <row r="44" spans="1:61" ht="36" customHeight="1">
      <c r="A44" s="49">
        <v>2.17</v>
      </c>
      <c r="B44" s="50"/>
      <c r="C44" s="51" t="s">
        <v>56</v>
      </c>
      <c r="D44" s="47" t="s">
        <v>94</v>
      </c>
      <c r="E44" s="45">
        <v>120000</v>
      </c>
      <c r="F44" s="46"/>
      <c r="G44" s="47">
        <v>4</v>
      </c>
      <c r="H44" s="53"/>
      <c r="I44" s="45">
        <v>9000</v>
      </c>
      <c r="J44" s="123">
        <f t="shared" si="1"/>
        <v>111000</v>
      </c>
      <c r="K44" s="44" t="s">
        <v>95</v>
      </c>
      <c r="L44" s="125"/>
    </row>
    <row r="45" spans="1:61" ht="36" customHeight="1">
      <c r="A45" s="49">
        <v>2.1800000000000002</v>
      </c>
      <c r="B45" s="50"/>
      <c r="C45" s="51" t="s">
        <v>56</v>
      </c>
      <c r="D45" s="47" t="s">
        <v>96</v>
      </c>
      <c r="E45" s="45">
        <v>50000</v>
      </c>
      <c r="F45" s="46"/>
      <c r="G45" s="47">
        <v>1</v>
      </c>
      <c r="H45" s="53"/>
      <c r="I45" s="45">
        <f t="shared" si="2"/>
        <v>0</v>
      </c>
      <c r="J45" s="123">
        <f t="shared" si="1"/>
        <v>50000</v>
      </c>
      <c r="K45" s="44" t="s">
        <v>97</v>
      </c>
      <c r="L45" s="125"/>
    </row>
    <row r="46" spans="1:61" s="5" customFormat="1" ht="34.5" customHeight="1">
      <c r="A46" s="83">
        <v>2.19</v>
      </c>
      <c r="B46" s="84"/>
      <c r="C46" s="85" t="s">
        <v>56</v>
      </c>
      <c r="D46" s="54" t="s">
        <v>98</v>
      </c>
      <c r="E46" s="52">
        <v>150000</v>
      </c>
      <c r="F46" s="56"/>
      <c r="G46" s="54">
        <v>1</v>
      </c>
      <c r="H46" s="55"/>
      <c r="I46" s="45">
        <v>36000</v>
      </c>
      <c r="J46" s="126">
        <f t="shared" si="1"/>
        <v>114000</v>
      </c>
      <c r="K46" s="134" t="s">
        <v>99</v>
      </c>
      <c r="L46" s="13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s="5" customFormat="1" ht="46" customHeight="1">
      <c r="A47" s="86"/>
      <c r="B47" s="87"/>
      <c r="C47" s="88"/>
      <c r="D47" s="89"/>
      <c r="E47" s="90">
        <f>SUM(E22:E46)</f>
        <v>4952200</v>
      </c>
      <c r="F47" s="91">
        <f>(F21)</f>
        <v>511549.97599999997</v>
      </c>
      <c r="G47" s="89"/>
      <c r="H47" s="92"/>
      <c r="I47" s="92">
        <f>SUM(I22:I46)</f>
        <v>3216599.8499139999</v>
      </c>
      <c r="J47" s="136">
        <f t="shared" si="1"/>
        <v>1735600.1500860001</v>
      </c>
      <c r="K47" s="88"/>
      <c r="L47" s="137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s="6" customFormat="1" ht="27" customHeight="1">
      <c r="A48" s="93"/>
      <c r="B48" s="94"/>
      <c r="C48" s="95"/>
      <c r="D48" s="93"/>
      <c r="E48" s="96"/>
      <c r="F48" s="97"/>
      <c r="G48" s="93"/>
      <c r="H48" s="96"/>
      <c r="I48" s="96"/>
      <c r="J48" s="138"/>
      <c r="K48" s="95"/>
      <c r="L48" s="95"/>
    </row>
    <row r="49" spans="1:12" s="6" customFormat="1" ht="65" customHeight="1">
      <c r="A49" s="15" t="s">
        <v>2</v>
      </c>
      <c r="B49" s="16" t="s">
        <v>3</v>
      </c>
      <c r="C49" s="16" t="s">
        <v>4</v>
      </c>
      <c r="D49" s="16" t="s">
        <v>5</v>
      </c>
      <c r="E49" s="16" t="s">
        <v>6</v>
      </c>
      <c r="F49" s="16" t="s">
        <v>7</v>
      </c>
      <c r="G49" s="16" t="s">
        <v>8</v>
      </c>
      <c r="H49" s="16" t="s">
        <v>9</v>
      </c>
      <c r="I49" s="16" t="s">
        <v>10</v>
      </c>
      <c r="J49" s="16" t="s">
        <v>11</v>
      </c>
      <c r="K49" s="16" t="s">
        <v>12</v>
      </c>
      <c r="L49" s="105" t="s">
        <v>13</v>
      </c>
    </row>
    <row r="50" spans="1:12" ht="40.5" customHeight="1">
      <c r="A50" s="98">
        <v>3</v>
      </c>
      <c r="B50" s="98" t="s">
        <v>14</v>
      </c>
      <c r="C50" s="98" t="s">
        <v>100</v>
      </c>
      <c r="D50" s="98" t="s">
        <v>14</v>
      </c>
      <c r="E50" s="99">
        <f>SUM(E51:E72)</f>
        <v>730500</v>
      </c>
      <c r="F50" s="99">
        <f>SUM(F51:F72)</f>
        <v>313450</v>
      </c>
      <c r="G50" s="98" t="s">
        <v>101</v>
      </c>
      <c r="H50" s="99">
        <f>SUM(H51:H75)</f>
        <v>0</v>
      </c>
      <c r="I50" s="98">
        <f>SUM(I51:I75)</f>
        <v>602900</v>
      </c>
      <c r="J50" s="99">
        <f>(E50-I50)</f>
        <v>127600</v>
      </c>
      <c r="K50" s="98" t="s">
        <v>14</v>
      </c>
      <c r="L50" s="98" t="s">
        <v>14</v>
      </c>
    </row>
    <row r="51" spans="1:12" ht="18">
      <c r="A51" s="100">
        <v>3.1</v>
      </c>
      <c r="B51" s="101"/>
      <c r="C51" s="100" t="s">
        <v>102</v>
      </c>
      <c r="D51" s="102" t="s">
        <v>103</v>
      </c>
      <c r="E51" s="103">
        <v>20000</v>
      </c>
      <c r="F51" s="103"/>
      <c r="G51" s="102">
        <v>1</v>
      </c>
      <c r="H51" s="103"/>
      <c r="I51" s="100">
        <f>(F51*G51)</f>
        <v>0</v>
      </c>
      <c r="J51" s="139">
        <f>(E51-I51)</f>
        <v>20000</v>
      </c>
      <c r="K51" s="100" t="s">
        <v>104</v>
      </c>
      <c r="L51" s="100" t="s">
        <v>105</v>
      </c>
    </row>
    <row r="52" spans="1:12" ht="48" customHeight="1">
      <c r="A52" s="100">
        <v>3.2</v>
      </c>
      <c r="B52" s="101">
        <v>45978</v>
      </c>
      <c r="C52" s="100" t="s">
        <v>102</v>
      </c>
      <c r="D52" s="102" t="s">
        <v>106</v>
      </c>
      <c r="E52" s="103">
        <v>127000</v>
      </c>
      <c r="F52" s="104">
        <v>127000</v>
      </c>
      <c r="G52" s="102">
        <v>1</v>
      </c>
      <c r="H52" s="103"/>
      <c r="I52" s="100">
        <v>127000</v>
      </c>
      <c r="J52" s="139">
        <f t="shared" ref="J52:J75" si="3">(E52-I52)</f>
        <v>0</v>
      </c>
      <c r="K52" s="100" t="s">
        <v>107</v>
      </c>
      <c r="L52" s="100"/>
    </row>
    <row r="53" spans="1:12" ht="26.5" customHeight="1">
      <c r="A53" s="100">
        <v>3.3</v>
      </c>
      <c r="B53" s="101"/>
      <c r="C53" s="100" t="s">
        <v>102</v>
      </c>
      <c r="D53" s="102" t="s">
        <v>108</v>
      </c>
      <c r="E53" s="103">
        <v>20000</v>
      </c>
      <c r="F53" s="104"/>
      <c r="G53" s="102">
        <v>5</v>
      </c>
      <c r="H53" s="103"/>
      <c r="I53" s="100">
        <f t="shared" ref="I53:I75" si="4">(F53*G53)</f>
        <v>0</v>
      </c>
      <c r="J53" s="139">
        <f t="shared" si="3"/>
        <v>20000</v>
      </c>
      <c r="K53" s="100" t="s">
        <v>109</v>
      </c>
      <c r="L53" s="100"/>
    </row>
    <row r="54" spans="1:12" ht="26.5" customHeight="1">
      <c r="A54" s="100">
        <v>3.4</v>
      </c>
      <c r="B54" s="101"/>
      <c r="C54" s="100" t="s">
        <v>102</v>
      </c>
      <c r="D54" s="102" t="s">
        <v>110</v>
      </c>
      <c r="E54" s="103">
        <v>16000</v>
      </c>
      <c r="F54" s="104"/>
      <c r="G54" s="102">
        <v>4</v>
      </c>
      <c r="H54" s="103"/>
      <c r="I54" s="100">
        <f t="shared" si="4"/>
        <v>0</v>
      </c>
      <c r="J54" s="139">
        <f t="shared" si="3"/>
        <v>16000</v>
      </c>
      <c r="K54" s="100" t="s">
        <v>111</v>
      </c>
      <c r="L54" s="100"/>
    </row>
    <row r="55" spans="1:12" ht="28.5" customHeight="1">
      <c r="A55" s="100">
        <v>3.5</v>
      </c>
      <c r="B55" s="101"/>
      <c r="C55" s="100" t="s">
        <v>102</v>
      </c>
      <c r="D55" s="102" t="s">
        <v>112</v>
      </c>
      <c r="E55" s="103">
        <v>16000</v>
      </c>
      <c r="F55" s="104"/>
      <c r="G55" s="102">
        <v>4</v>
      </c>
      <c r="H55" s="103"/>
      <c r="I55" s="100">
        <f t="shared" si="4"/>
        <v>0</v>
      </c>
      <c r="J55" s="139">
        <f t="shared" si="3"/>
        <v>16000</v>
      </c>
      <c r="K55" s="100" t="s">
        <v>113</v>
      </c>
      <c r="L55" s="100"/>
    </row>
    <row r="56" spans="1:12" ht="32" customHeight="1">
      <c r="A56" s="100">
        <v>3.6</v>
      </c>
      <c r="B56" s="101"/>
      <c r="C56" s="100" t="s">
        <v>102</v>
      </c>
      <c r="D56" s="102" t="s">
        <v>114</v>
      </c>
      <c r="E56" s="103">
        <f t="shared" ref="E56" si="5">(F56*G56)</f>
        <v>0</v>
      </c>
      <c r="F56" s="104">
        <v>0</v>
      </c>
      <c r="G56" s="102">
        <v>1</v>
      </c>
      <c r="H56" s="103"/>
      <c r="I56" s="100">
        <f t="shared" si="4"/>
        <v>0</v>
      </c>
      <c r="J56" s="139">
        <f t="shared" si="3"/>
        <v>0</v>
      </c>
      <c r="K56" s="100" t="s">
        <v>115</v>
      </c>
      <c r="L56" s="100"/>
    </row>
    <row r="57" spans="1:12" ht="28.5">
      <c r="A57" s="100">
        <v>3.7</v>
      </c>
      <c r="B57" s="101"/>
      <c r="C57" s="100" t="s">
        <v>102</v>
      </c>
      <c r="D57" s="102" t="s">
        <v>116</v>
      </c>
      <c r="E57" s="103">
        <v>16000</v>
      </c>
      <c r="F57" s="104">
        <v>8000</v>
      </c>
      <c r="G57" s="102">
        <v>2</v>
      </c>
      <c r="H57" s="103"/>
      <c r="I57" s="100">
        <f t="shared" si="4"/>
        <v>16000</v>
      </c>
      <c r="J57" s="139">
        <f t="shared" si="3"/>
        <v>0</v>
      </c>
      <c r="K57" s="100" t="s">
        <v>117</v>
      </c>
      <c r="L57" s="100"/>
    </row>
    <row r="58" spans="1:12">
      <c r="A58" s="100">
        <v>3.8</v>
      </c>
      <c r="B58" s="101"/>
      <c r="C58" s="100" t="s">
        <v>102</v>
      </c>
      <c r="D58" s="102" t="s">
        <v>118</v>
      </c>
      <c r="E58" s="103">
        <v>6000</v>
      </c>
      <c r="F58" s="104">
        <v>6000</v>
      </c>
      <c r="G58" s="102">
        <v>1</v>
      </c>
      <c r="H58" s="103"/>
      <c r="I58" s="100">
        <v>6000</v>
      </c>
      <c r="J58" s="139">
        <f t="shared" si="3"/>
        <v>0</v>
      </c>
      <c r="K58" s="100" t="s">
        <v>119</v>
      </c>
      <c r="L58" s="100"/>
    </row>
    <row r="59" spans="1:12" ht="19">
      <c r="A59" s="100">
        <v>3.9</v>
      </c>
      <c r="B59" s="101"/>
      <c r="C59" s="100" t="s">
        <v>102</v>
      </c>
      <c r="D59" s="102" t="s">
        <v>120</v>
      </c>
      <c r="E59" s="103">
        <v>15000</v>
      </c>
      <c r="F59" s="104"/>
      <c r="G59" s="102">
        <v>10</v>
      </c>
      <c r="H59" s="103"/>
      <c r="I59" s="100">
        <f t="shared" si="4"/>
        <v>0</v>
      </c>
      <c r="J59" s="139">
        <f t="shared" si="3"/>
        <v>15000</v>
      </c>
      <c r="K59" s="100" t="s">
        <v>121</v>
      </c>
      <c r="L59" s="100"/>
    </row>
    <row r="60" spans="1:12" ht="19">
      <c r="A60" s="100">
        <v>3.1</v>
      </c>
      <c r="B60" s="101"/>
      <c r="C60" s="100" t="s">
        <v>102</v>
      </c>
      <c r="D60" s="102" t="s">
        <v>122</v>
      </c>
      <c r="E60" s="103">
        <v>15000</v>
      </c>
      <c r="F60" s="104"/>
      <c r="G60" s="102">
        <v>1</v>
      </c>
      <c r="H60" s="103"/>
      <c r="I60" s="100">
        <f t="shared" si="4"/>
        <v>0</v>
      </c>
      <c r="J60" s="139">
        <f t="shared" si="3"/>
        <v>15000</v>
      </c>
      <c r="K60" s="100" t="s">
        <v>123</v>
      </c>
      <c r="L60" s="100"/>
    </row>
    <row r="61" spans="1:12" ht="19">
      <c r="A61" s="100">
        <v>3.11</v>
      </c>
      <c r="B61" s="101"/>
      <c r="C61" s="100" t="s">
        <v>102</v>
      </c>
      <c r="D61" s="102" t="s">
        <v>124</v>
      </c>
      <c r="E61" s="103">
        <v>5000</v>
      </c>
      <c r="F61" s="104">
        <v>5000</v>
      </c>
      <c r="G61" s="102">
        <v>1</v>
      </c>
      <c r="H61" s="103"/>
      <c r="I61" s="100">
        <f t="shared" si="4"/>
        <v>5000</v>
      </c>
      <c r="J61" s="139">
        <f t="shared" si="3"/>
        <v>0</v>
      </c>
      <c r="K61" s="100" t="s">
        <v>125</v>
      </c>
      <c r="L61" s="100"/>
    </row>
    <row r="62" spans="1:12" ht="19">
      <c r="A62" s="100">
        <v>3.12</v>
      </c>
      <c r="B62" s="101">
        <v>45971</v>
      </c>
      <c r="C62" s="100" t="s">
        <v>102</v>
      </c>
      <c r="D62" s="102" t="s">
        <v>126</v>
      </c>
      <c r="E62" s="103">
        <v>45000</v>
      </c>
      <c r="F62" s="104">
        <v>41000</v>
      </c>
      <c r="G62" s="102">
        <v>1</v>
      </c>
      <c r="H62" s="103"/>
      <c r="I62" s="100">
        <f t="shared" si="4"/>
        <v>41000</v>
      </c>
      <c r="J62" s="139">
        <f t="shared" si="3"/>
        <v>4000</v>
      </c>
      <c r="K62" s="100" t="s">
        <v>127</v>
      </c>
      <c r="L62" s="100"/>
    </row>
    <row r="63" spans="1:12" ht="19">
      <c r="A63" s="100">
        <v>3.13</v>
      </c>
      <c r="B63" s="101">
        <v>45971</v>
      </c>
      <c r="C63" s="100" t="s">
        <v>102</v>
      </c>
      <c r="D63" s="102" t="s">
        <v>128</v>
      </c>
      <c r="E63" s="103">
        <v>60000</v>
      </c>
      <c r="F63" s="104">
        <v>6000</v>
      </c>
      <c r="G63" s="102">
        <v>7</v>
      </c>
      <c r="H63" s="103"/>
      <c r="I63" s="100">
        <f t="shared" si="4"/>
        <v>42000</v>
      </c>
      <c r="J63" s="139">
        <f t="shared" si="3"/>
        <v>18000</v>
      </c>
      <c r="K63" s="100" t="s">
        <v>129</v>
      </c>
      <c r="L63" s="100"/>
    </row>
    <row r="64" spans="1:12" ht="19">
      <c r="A64" s="100">
        <v>3.14</v>
      </c>
      <c r="B64" s="101">
        <v>45971</v>
      </c>
      <c r="C64" s="100" t="s">
        <v>102</v>
      </c>
      <c r="D64" s="102" t="s">
        <v>130</v>
      </c>
      <c r="E64" s="103">
        <v>10000</v>
      </c>
      <c r="F64" s="104">
        <v>1200</v>
      </c>
      <c r="G64" s="102">
        <v>12</v>
      </c>
      <c r="H64" s="103"/>
      <c r="I64" s="100">
        <f t="shared" si="4"/>
        <v>14400</v>
      </c>
      <c r="J64" s="139">
        <f t="shared" si="3"/>
        <v>-4400</v>
      </c>
      <c r="K64" s="100" t="s">
        <v>131</v>
      </c>
      <c r="L64" s="100"/>
    </row>
    <row r="65" spans="1:48" ht="19">
      <c r="A65" s="100">
        <v>3.15</v>
      </c>
      <c r="B65" s="101">
        <v>45971</v>
      </c>
      <c r="C65" s="100" t="s">
        <v>102</v>
      </c>
      <c r="D65" s="102" t="s">
        <v>132</v>
      </c>
      <c r="E65" s="103">
        <v>75000</v>
      </c>
      <c r="F65" s="104">
        <v>15000</v>
      </c>
      <c r="G65" s="102">
        <v>5</v>
      </c>
      <c r="H65" s="103"/>
      <c r="I65" s="100">
        <f t="shared" si="4"/>
        <v>75000</v>
      </c>
      <c r="J65" s="139">
        <f t="shared" si="3"/>
        <v>0</v>
      </c>
      <c r="K65" s="100" t="s">
        <v>133</v>
      </c>
      <c r="L65" s="100"/>
    </row>
    <row r="66" spans="1:48" ht="19">
      <c r="A66" s="100">
        <v>3.16</v>
      </c>
      <c r="B66" s="101">
        <v>45971</v>
      </c>
      <c r="C66" s="100" t="s">
        <v>102</v>
      </c>
      <c r="D66" s="102" t="s">
        <v>134</v>
      </c>
      <c r="E66" s="103">
        <v>120000</v>
      </c>
      <c r="F66" s="104">
        <v>15000</v>
      </c>
      <c r="G66" s="102">
        <v>7</v>
      </c>
      <c r="H66" s="103"/>
      <c r="I66" s="100">
        <f t="shared" si="4"/>
        <v>105000</v>
      </c>
      <c r="J66" s="139">
        <f t="shared" si="3"/>
        <v>15000</v>
      </c>
      <c r="K66" s="100" t="s">
        <v>135</v>
      </c>
      <c r="L66" s="100"/>
    </row>
    <row r="67" spans="1:48" ht="34" customHeight="1">
      <c r="A67" s="100">
        <v>3.17</v>
      </c>
      <c r="B67" s="101">
        <v>45986</v>
      </c>
      <c r="C67" s="100" t="s">
        <v>102</v>
      </c>
      <c r="D67" s="102" t="s">
        <v>136</v>
      </c>
      <c r="E67" s="103">
        <v>30000</v>
      </c>
      <c r="F67" s="104">
        <v>30000</v>
      </c>
      <c r="G67" s="102">
        <v>1</v>
      </c>
      <c r="H67" s="103"/>
      <c r="I67" s="100">
        <f t="shared" si="4"/>
        <v>30000</v>
      </c>
      <c r="J67" s="139">
        <f t="shared" si="3"/>
        <v>0</v>
      </c>
      <c r="K67" s="100" t="s">
        <v>137</v>
      </c>
      <c r="L67" s="100"/>
    </row>
    <row r="68" spans="1:48" ht="35.5" customHeight="1">
      <c r="A68" s="100">
        <v>3.18</v>
      </c>
      <c r="B68" s="101">
        <v>45971</v>
      </c>
      <c r="C68" s="100" t="s">
        <v>102</v>
      </c>
      <c r="D68" s="102" t="s">
        <v>138</v>
      </c>
      <c r="E68" s="103">
        <v>2500</v>
      </c>
      <c r="F68" s="104">
        <v>1250</v>
      </c>
      <c r="G68" s="102">
        <v>10</v>
      </c>
      <c r="H68" s="103"/>
      <c r="I68" s="100">
        <f t="shared" si="4"/>
        <v>12500</v>
      </c>
      <c r="J68" s="139">
        <f t="shared" si="3"/>
        <v>-10000</v>
      </c>
      <c r="K68" s="100" t="s">
        <v>139</v>
      </c>
      <c r="L68" s="100"/>
    </row>
    <row r="69" spans="1:48">
      <c r="A69" s="100">
        <v>3.19</v>
      </c>
      <c r="B69" s="101">
        <v>45971</v>
      </c>
      <c r="C69" s="100" t="s">
        <v>102</v>
      </c>
      <c r="D69" s="102" t="s">
        <v>140</v>
      </c>
      <c r="E69" s="103">
        <v>12000</v>
      </c>
      <c r="F69" s="104">
        <v>8000</v>
      </c>
      <c r="G69" s="102">
        <v>1</v>
      </c>
      <c r="H69" s="103"/>
      <c r="I69" s="100">
        <f t="shared" si="4"/>
        <v>8000</v>
      </c>
      <c r="J69" s="139">
        <f t="shared" si="3"/>
        <v>4000</v>
      </c>
      <c r="K69" s="100" t="s">
        <v>141</v>
      </c>
      <c r="L69" s="100"/>
    </row>
    <row r="70" spans="1:48" s="5" customFormat="1" ht="19">
      <c r="A70" s="100">
        <v>3.2</v>
      </c>
      <c r="B70" s="101">
        <v>45976</v>
      </c>
      <c r="C70" s="100" t="s">
        <v>102</v>
      </c>
      <c r="D70" s="102" t="s">
        <v>142</v>
      </c>
      <c r="E70" s="103"/>
      <c r="F70" s="104">
        <v>0</v>
      </c>
      <c r="G70" s="102">
        <v>1</v>
      </c>
      <c r="H70" s="103"/>
      <c r="I70" s="100">
        <f t="shared" si="4"/>
        <v>0</v>
      </c>
      <c r="J70" s="139">
        <f t="shared" si="3"/>
        <v>0</v>
      </c>
      <c r="K70" s="100" t="s">
        <v>143</v>
      </c>
      <c r="L70" s="100" t="s">
        <v>144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s="5" customFormat="1" ht="19">
      <c r="A71" s="100">
        <v>3.21</v>
      </c>
      <c r="B71" s="101"/>
      <c r="C71" s="100" t="s">
        <v>102</v>
      </c>
      <c r="D71" s="102" t="s">
        <v>145</v>
      </c>
      <c r="E71" s="103"/>
      <c r="F71" s="104">
        <v>0</v>
      </c>
      <c r="G71" s="102">
        <v>0</v>
      </c>
      <c r="H71" s="103"/>
      <c r="I71" s="100">
        <f t="shared" si="4"/>
        <v>0</v>
      </c>
      <c r="J71" s="139">
        <f t="shared" si="3"/>
        <v>0</v>
      </c>
      <c r="K71" s="100" t="s">
        <v>146</v>
      </c>
      <c r="L71" s="100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s="5" customFormat="1" ht="19">
      <c r="A72" s="141">
        <v>3.23</v>
      </c>
      <c r="B72" s="142"/>
      <c r="C72" s="141" t="s">
        <v>102</v>
      </c>
      <c r="D72" s="143" t="s">
        <v>147</v>
      </c>
      <c r="E72" s="144">
        <v>120000</v>
      </c>
      <c r="F72" s="145">
        <v>50000</v>
      </c>
      <c r="G72" s="143">
        <v>2</v>
      </c>
      <c r="H72" s="144"/>
      <c r="I72" s="141">
        <f t="shared" si="4"/>
        <v>100000</v>
      </c>
      <c r="J72" s="174">
        <f t="shared" si="3"/>
        <v>20000</v>
      </c>
      <c r="K72" s="141" t="s">
        <v>148</v>
      </c>
      <c r="L72" s="14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s="7" customFormat="1">
      <c r="A73" s="100"/>
      <c r="B73" s="101">
        <v>45971</v>
      </c>
      <c r="C73" s="141" t="s">
        <v>102</v>
      </c>
      <c r="D73" s="102" t="s">
        <v>149</v>
      </c>
      <c r="E73" s="103">
        <v>0</v>
      </c>
      <c r="F73" s="104">
        <v>5000</v>
      </c>
      <c r="G73" s="102">
        <v>1</v>
      </c>
      <c r="H73" s="103"/>
      <c r="I73" s="100">
        <f t="shared" si="4"/>
        <v>5000</v>
      </c>
      <c r="J73" s="139">
        <f t="shared" si="3"/>
        <v>-5000</v>
      </c>
      <c r="K73" s="100"/>
      <c r="L73" s="100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  <c r="AM73" s="175"/>
      <c r="AN73" s="175"/>
      <c r="AO73" s="175"/>
      <c r="AP73" s="175"/>
      <c r="AQ73" s="175"/>
      <c r="AR73" s="175"/>
      <c r="AS73" s="175"/>
      <c r="AT73" s="175"/>
      <c r="AU73" s="175"/>
      <c r="AV73" s="175"/>
    </row>
    <row r="74" spans="1:48" s="7" customFormat="1">
      <c r="A74" s="100"/>
      <c r="B74" s="101">
        <v>45971</v>
      </c>
      <c r="C74" s="141"/>
      <c r="D74" s="102" t="s">
        <v>150</v>
      </c>
      <c r="E74" s="103">
        <v>0</v>
      </c>
      <c r="F74" s="104">
        <v>4000</v>
      </c>
      <c r="G74" s="102">
        <v>2</v>
      </c>
      <c r="H74" s="103"/>
      <c r="I74" s="100">
        <f t="shared" si="4"/>
        <v>8000</v>
      </c>
      <c r="J74" s="139">
        <f t="shared" si="3"/>
        <v>-8000</v>
      </c>
      <c r="K74" s="100"/>
      <c r="L74" s="100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  <c r="AM74" s="175"/>
      <c r="AN74" s="175"/>
      <c r="AO74" s="175"/>
      <c r="AP74" s="175"/>
      <c r="AQ74" s="175"/>
      <c r="AR74" s="175"/>
      <c r="AS74" s="175"/>
      <c r="AT74" s="175"/>
      <c r="AU74" s="175"/>
      <c r="AV74" s="175"/>
    </row>
    <row r="75" spans="1:48" s="7" customFormat="1">
      <c r="A75" s="100"/>
      <c r="B75" s="101">
        <v>45971</v>
      </c>
      <c r="C75" s="141" t="s">
        <v>102</v>
      </c>
      <c r="D75" s="102" t="s">
        <v>151</v>
      </c>
      <c r="E75" s="103">
        <v>0</v>
      </c>
      <c r="F75" s="104">
        <v>8000</v>
      </c>
      <c r="G75" s="102">
        <v>1</v>
      </c>
      <c r="H75" s="103"/>
      <c r="I75" s="100">
        <f t="shared" si="4"/>
        <v>8000</v>
      </c>
      <c r="J75" s="139">
        <f t="shared" si="3"/>
        <v>-8000</v>
      </c>
      <c r="K75" s="100"/>
      <c r="L75" s="100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</row>
    <row r="76" spans="1:48" s="5" customFormat="1" ht="35" customHeight="1">
      <c r="A76" s="146"/>
      <c r="B76" s="147"/>
      <c r="C76" s="148"/>
      <c r="D76" s="149"/>
      <c r="E76" s="150">
        <f>SUM(E51:E72)</f>
        <v>730500</v>
      </c>
      <c r="F76" s="151">
        <f>SUM(F51:F75)</f>
        <v>330450</v>
      </c>
      <c r="G76" s="149"/>
      <c r="H76" s="152">
        <f>SUM(H51:H75)</f>
        <v>0</v>
      </c>
      <c r="I76" s="152">
        <f>SUM(I51:I75)</f>
        <v>602900</v>
      </c>
      <c r="J76" s="176">
        <f>SUM(J51:J75)</f>
        <v>127600</v>
      </c>
      <c r="K76" s="148"/>
      <c r="L76" s="177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s="5" customFormat="1" ht="30.5" customHeight="1">
      <c r="A77" s="153"/>
      <c r="B77" s="154"/>
      <c r="C77" s="153"/>
      <c r="D77" s="153"/>
      <c r="E77" s="155"/>
      <c r="F77" s="155"/>
      <c r="G77" s="153"/>
      <c r="H77" s="155"/>
      <c r="I77" s="155"/>
      <c r="J77" s="178"/>
      <c r="K77" s="153"/>
      <c r="L77" s="153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ht="65">
      <c r="A78" s="15" t="s">
        <v>2</v>
      </c>
      <c r="B78" s="16" t="s">
        <v>3</v>
      </c>
      <c r="C78" s="16" t="s">
        <v>4</v>
      </c>
      <c r="D78" s="16" t="s">
        <v>5</v>
      </c>
      <c r="E78" s="16" t="s">
        <v>6</v>
      </c>
      <c r="F78" s="16" t="s">
        <v>7</v>
      </c>
      <c r="G78" s="16" t="s">
        <v>8</v>
      </c>
      <c r="H78" s="16" t="s">
        <v>9</v>
      </c>
      <c r="I78" s="16" t="s">
        <v>10</v>
      </c>
      <c r="J78" s="16" t="s">
        <v>11</v>
      </c>
      <c r="K78" s="16" t="s">
        <v>12</v>
      </c>
      <c r="L78" s="105" t="s">
        <v>13</v>
      </c>
    </row>
    <row r="79" spans="1:48" ht="41" customHeight="1">
      <c r="A79" s="156">
        <v>4</v>
      </c>
      <c r="B79" s="156" t="s">
        <v>14</v>
      </c>
      <c r="C79" s="156" t="s">
        <v>152</v>
      </c>
      <c r="D79" s="156" t="s">
        <v>14</v>
      </c>
      <c r="E79" s="157">
        <v>250000</v>
      </c>
      <c r="F79" s="156" t="s">
        <v>14</v>
      </c>
      <c r="G79" s="156"/>
      <c r="H79" s="156" t="s">
        <v>14</v>
      </c>
      <c r="I79" s="157">
        <f>SUM(I80,I119,I136)</f>
        <v>700850</v>
      </c>
      <c r="J79" s="157">
        <f>(E79-I79)</f>
        <v>-450850</v>
      </c>
      <c r="K79" s="156" t="s">
        <v>14</v>
      </c>
      <c r="L79" s="156" t="s">
        <v>14</v>
      </c>
    </row>
    <row r="80" spans="1:48" ht="38.5" customHeight="1">
      <c r="A80" s="158">
        <v>4.0999999999999996</v>
      </c>
      <c r="B80" s="159"/>
      <c r="C80" s="160" t="s">
        <v>153</v>
      </c>
      <c r="D80" s="160" t="s">
        <v>154</v>
      </c>
      <c r="E80" s="161">
        <f>SUM(E81:E113)</f>
        <v>415500</v>
      </c>
      <c r="F80" s="160">
        <v>1020</v>
      </c>
      <c r="G80" s="160">
        <f>(E80/F80)</f>
        <v>407.35294117647061</v>
      </c>
      <c r="H80" s="160" t="s">
        <v>14</v>
      </c>
      <c r="I80" s="161">
        <f>SUM(I81:I118)</f>
        <v>435500</v>
      </c>
      <c r="J80" s="179">
        <f t="shared" ref="J80:J151" si="6">(E80-I80)</f>
        <v>-20000</v>
      </c>
      <c r="K80" s="160" t="s">
        <v>155</v>
      </c>
      <c r="L80" s="180" t="s">
        <v>156</v>
      </c>
    </row>
    <row r="81" spans="1:12" ht="23.5" customHeight="1">
      <c r="A81" s="162" t="s">
        <v>157</v>
      </c>
      <c r="B81" s="163">
        <v>45966</v>
      </c>
      <c r="C81" s="162" t="s">
        <v>153</v>
      </c>
      <c r="D81" s="162" t="s">
        <v>158</v>
      </c>
      <c r="E81" s="164">
        <v>20000</v>
      </c>
      <c r="F81" s="162">
        <v>1020</v>
      </c>
      <c r="G81" s="162">
        <f t="shared" ref="G81:G118" si="7">(E81/F81)</f>
        <v>19.607843137254903</v>
      </c>
      <c r="H81" s="162"/>
      <c r="I81" s="164">
        <f>(F81*G81)</f>
        <v>20000</v>
      </c>
      <c r="J81" s="181">
        <f t="shared" si="6"/>
        <v>0</v>
      </c>
      <c r="K81" s="162" t="s">
        <v>159</v>
      </c>
      <c r="L81" s="162"/>
    </row>
    <row r="82" spans="1:12" ht="23.5" customHeight="1">
      <c r="A82" s="162" t="s">
        <v>160</v>
      </c>
      <c r="B82" s="163">
        <v>45971</v>
      </c>
      <c r="C82" s="162" t="s">
        <v>153</v>
      </c>
      <c r="D82" s="162" t="s">
        <v>158</v>
      </c>
      <c r="E82" s="164">
        <v>10000</v>
      </c>
      <c r="F82" s="162">
        <v>1020</v>
      </c>
      <c r="G82" s="162">
        <f t="shared" si="7"/>
        <v>9.8039215686274517</v>
      </c>
      <c r="H82" s="162"/>
      <c r="I82" s="164">
        <f>(F82*G82)</f>
        <v>10000</v>
      </c>
      <c r="J82" s="181">
        <f t="shared" si="6"/>
        <v>0</v>
      </c>
      <c r="K82" s="162" t="s">
        <v>161</v>
      </c>
      <c r="L82" s="162"/>
    </row>
    <row r="83" spans="1:12" ht="23.5" customHeight="1">
      <c r="A83" s="162" t="s">
        <v>162</v>
      </c>
      <c r="B83" s="163">
        <v>45972</v>
      </c>
      <c r="C83" s="162" t="s">
        <v>153</v>
      </c>
      <c r="D83" s="162" t="s">
        <v>158</v>
      </c>
      <c r="E83" s="164">
        <v>10000</v>
      </c>
      <c r="F83" s="162">
        <v>1020</v>
      </c>
      <c r="G83" s="162">
        <f t="shared" si="7"/>
        <v>9.8039215686274517</v>
      </c>
      <c r="H83" s="162"/>
      <c r="I83" s="164">
        <f t="shared" ref="I83:I118" si="8">(F83*G83)</f>
        <v>10000</v>
      </c>
      <c r="J83" s="181">
        <f t="shared" si="6"/>
        <v>0</v>
      </c>
      <c r="K83" s="162" t="s">
        <v>163</v>
      </c>
      <c r="L83" s="162"/>
    </row>
    <row r="84" spans="1:12" ht="23.5" customHeight="1">
      <c r="A84" s="162" t="s">
        <v>164</v>
      </c>
      <c r="B84" s="163">
        <v>45973</v>
      </c>
      <c r="C84" s="162" t="s">
        <v>153</v>
      </c>
      <c r="D84" s="162" t="s">
        <v>158</v>
      </c>
      <c r="E84" s="164">
        <v>15000</v>
      </c>
      <c r="F84" s="162">
        <v>1020</v>
      </c>
      <c r="G84" s="162">
        <f t="shared" si="7"/>
        <v>14.705882352941176</v>
      </c>
      <c r="H84" s="162"/>
      <c r="I84" s="164">
        <f t="shared" si="8"/>
        <v>15000</v>
      </c>
      <c r="J84" s="181">
        <f t="shared" si="6"/>
        <v>0</v>
      </c>
      <c r="K84" s="162" t="s">
        <v>165</v>
      </c>
      <c r="L84" s="162"/>
    </row>
    <row r="85" spans="1:12" ht="23.5" customHeight="1">
      <c r="A85" s="162" t="s">
        <v>166</v>
      </c>
      <c r="B85" s="163">
        <v>45974</v>
      </c>
      <c r="C85" s="162" t="s">
        <v>153</v>
      </c>
      <c r="D85" s="162" t="s">
        <v>158</v>
      </c>
      <c r="E85" s="164">
        <v>20000</v>
      </c>
      <c r="F85" s="162">
        <v>1020</v>
      </c>
      <c r="G85" s="162">
        <f t="shared" si="7"/>
        <v>19.607843137254903</v>
      </c>
      <c r="H85" s="162"/>
      <c r="I85" s="164">
        <f t="shared" si="8"/>
        <v>20000</v>
      </c>
      <c r="J85" s="181">
        <f t="shared" si="6"/>
        <v>0</v>
      </c>
      <c r="K85" s="162" t="s">
        <v>167</v>
      </c>
      <c r="L85" s="162"/>
    </row>
    <row r="86" spans="1:12" ht="23.5" customHeight="1">
      <c r="A86" s="162" t="s">
        <v>168</v>
      </c>
      <c r="B86" s="163">
        <v>45975</v>
      </c>
      <c r="C86" s="162" t="s">
        <v>153</v>
      </c>
      <c r="D86" s="162" t="s">
        <v>158</v>
      </c>
      <c r="E86" s="164">
        <v>15000</v>
      </c>
      <c r="F86" s="162">
        <v>1020</v>
      </c>
      <c r="G86" s="162">
        <f t="shared" si="7"/>
        <v>14.705882352941176</v>
      </c>
      <c r="H86" s="162"/>
      <c r="I86" s="164">
        <f t="shared" si="8"/>
        <v>15000</v>
      </c>
      <c r="J86" s="181">
        <f t="shared" si="6"/>
        <v>0</v>
      </c>
      <c r="K86" s="162" t="s">
        <v>169</v>
      </c>
      <c r="L86" s="162"/>
    </row>
    <row r="87" spans="1:12" ht="23.5" customHeight="1">
      <c r="A87" s="162" t="s">
        <v>170</v>
      </c>
      <c r="B87" s="163">
        <v>45976</v>
      </c>
      <c r="C87" s="162" t="s">
        <v>153</v>
      </c>
      <c r="D87" s="162" t="s">
        <v>158</v>
      </c>
      <c r="E87" s="164">
        <v>10000</v>
      </c>
      <c r="F87" s="162">
        <v>1020</v>
      </c>
      <c r="G87" s="162">
        <f t="shared" si="7"/>
        <v>9.8039215686274517</v>
      </c>
      <c r="H87" s="162"/>
      <c r="I87" s="164">
        <f t="shared" si="8"/>
        <v>10000</v>
      </c>
      <c r="J87" s="181">
        <f t="shared" si="6"/>
        <v>0</v>
      </c>
      <c r="K87" s="162" t="s">
        <v>171</v>
      </c>
      <c r="L87" s="162"/>
    </row>
    <row r="88" spans="1:12" ht="23.5" customHeight="1">
      <c r="A88" s="162" t="s">
        <v>172</v>
      </c>
      <c r="B88" s="163">
        <v>45978</v>
      </c>
      <c r="C88" s="162" t="s">
        <v>153</v>
      </c>
      <c r="D88" s="162" t="s">
        <v>158</v>
      </c>
      <c r="E88" s="164">
        <v>20000</v>
      </c>
      <c r="F88" s="162">
        <v>1020</v>
      </c>
      <c r="G88" s="162">
        <f t="shared" si="7"/>
        <v>19.607843137254903</v>
      </c>
      <c r="H88" s="162"/>
      <c r="I88" s="164">
        <f t="shared" si="8"/>
        <v>20000</v>
      </c>
      <c r="J88" s="181">
        <f t="shared" si="6"/>
        <v>0</v>
      </c>
      <c r="K88" s="162" t="s">
        <v>173</v>
      </c>
      <c r="L88" s="162"/>
    </row>
    <row r="89" spans="1:12" ht="23.5" customHeight="1">
      <c r="A89" s="162" t="s">
        <v>174</v>
      </c>
      <c r="B89" s="163">
        <v>45979</v>
      </c>
      <c r="C89" s="162" t="s">
        <v>153</v>
      </c>
      <c r="D89" s="162" t="s">
        <v>158</v>
      </c>
      <c r="E89" s="164">
        <v>10000</v>
      </c>
      <c r="F89" s="162">
        <v>1020</v>
      </c>
      <c r="G89" s="162">
        <f t="shared" si="7"/>
        <v>9.8039215686274517</v>
      </c>
      <c r="H89" s="162"/>
      <c r="I89" s="164">
        <f t="shared" si="8"/>
        <v>10000</v>
      </c>
      <c r="J89" s="181">
        <f t="shared" si="6"/>
        <v>0</v>
      </c>
      <c r="K89" s="162" t="s">
        <v>175</v>
      </c>
      <c r="L89" s="162"/>
    </row>
    <row r="90" spans="1:12" ht="23.5" customHeight="1">
      <c r="A90" s="162" t="s">
        <v>176</v>
      </c>
      <c r="B90" s="163">
        <v>45980</v>
      </c>
      <c r="C90" s="162" t="s">
        <v>153</v>
      </c>
      <c r="D90" s="162" t="s">
        <v>158</v>
      </c>
      <c r="E90" s="164">
        <v>20000</v>
      </c>
      <c r="F90" s="162">
        <v>1020</v>
      </c>
      <c r="G90" s="162">
        <f t="shared" si="7"/>
        <v>19.607843137254903</v>
      </c>
      <c r="H90" s="162"/>
      <c r="I90" s="164">
        <f t="shared" si="8"/>
        <v>20000</v>
      </c>
      <c r="J90" s="181">
        <f t="shared" si="6"/>
        <v>0</v>
      </c>
      <c r="K90" s="162" t="s">
        <v>177</v>
      </c>
      <c r="L90" s="162"/>
    </row>
    <row r="91" spans="1:12" ht="23.5" customHeight="1">
      <c r="A91" s="162" t="s">
        <v>178</v>
      </c>
      <c r="B91" s="163">
        <v>45981</v>
      </c>
      <c r="C91" s="162" t="s">
        <v>153</v>
      </c>
      <c r="D91" s="162" t="s">
        <v>158</v>
      </c>
      <c r="E91" s="164">
        <v>15000</v>
      </c>
      <c r="F91" s="162">
        <v>1020</v>
      </c>
      <c r="G91" s="162">
        <f t="shared" si="7"/>
        <v>14.705882352941176</v>
      </c>
      <c r="H91" s="162"/>
      <c r="I91" s="164">
        <f t="shared" si="8"/>
        <v>15000</v>
      </c>
      <c r="J91" s="181">
        <f t="shared" si="6"/>
        <v>0</v>
      </c>
      <c r="K91" s="162" t="s">
        <v>179</v>
      </c>
      <c r="L91" s="162"/>
    </row>
    <row r="92" spans="1:12" ht="23.5" customHeight="1">
      <c r="A92" s="162" t="s">
        <v>180</v>
      </c>
      <c r="B92" s="163">
        <v>45982</v>
      </c>
      <c r="C92" s="162" t="s">
        <v>153</v>
      </c>
      <c r="D92" s="162" t="s">
        <v>158</v>
      </c>
      <c r="E92" s="164">
        <v>20000</v>
      </c>
      <c r="F92" s="162">
        <v>1020</v>
      </c>
      <c r="G92" s="162">
        <f t="shared" si="7"/>
        <v>19.607843137254903</v>
      </c>
      <c r="H92" s="162"/>
      <c r="I92" s="164">
        <f t="shared" ref="I92:I101" si="9">(F92*G92)</f>
        <v>20000</v>
      </c>
      <c r="J92" s="181">
        <f t="shared" si="6"/>
        <v>0</v>
      </c>
      <c r="K92" s="162" t="s">
        <v>181</v>
      </c>
      <c r="L92" s="162"/>
    </row>
    <row r="93" spans="1:12" ht="23.5" customHeight="1">
      <c r="A93" s="162" t="s">
        <v>182</v>
      </c>
      <c r="B93" s="163">
        <v>45984</v>
      </c>
      <c r="C93" s="162" t="s">
        <v>153</v>
      </c>
      <c r="D93" s="162" t="s">
        <v>158</v>
      </c>
      <c r="E93" s="164">
        <v>15000</v>
      </c>
      <c r="F93" s="162">
        <v>1020</v>
      </c>
      <c r="G93" s="162">
        <f t="shared" si="7"/>
        <v>14.705882352941176</v>
      </c>
      <c r="H93" s="162"/>
      <c r="I93" s="164">
        <f t="shared" si="9"/>
        <v>15000</v>
      </c>
      <c r="J93" s="181">
        <f t="shared" si="6"/>
        <v>0</v>
      </c>
      <c r="K93" s="162" t="s">
        <v>183</v>
      </c>
      <c r="L93" s="162"/>
    </row>
    <row r="94" spans="1:12" ht="23.5" customHeight="1">
      <c r="A94" s="162" t="s">
        <v>184</v>
      </c>
      <c r="B94" s="163">
        <v>45985</v>
      </c>
      <c r="C94" s="162" t="s">
        <v>153</v>
      </c>
      <c r="D94" s="162" t="s">
        <v>158</v>
      </c>
      <c r="E94" s="164">
        <v>20000</v>
      </c>
      <c r="F94" s="162">
        <v>1020</v>
      </c>
      <c r="G94" s="162">
        <f t="shared" si="7"/>
        <v>19.607843137254903</v>
      </c>
      <c r="H94" s="162"/>
      <c r="I94" s="164">
        <f t="shared" si="9"/>
        <v>20000</v>
      </c>
      <c r="J94" s="181">
        <f t="shared" si="6"/>
        <v>0</v>
      </c>
      <c r="K94" s="162" t="s">
        <v>185</v>
      </c>
      <c r="L94" s="162"/>
    </row>
    <row r="95" spans="1:12" ht="23.5" customHeight="1">
      <c r="A95" s="162" t="s">
        <v>186</v>
      </c>
      <c r="B95" s="163">
        <v>45986</v>
      </c>
      <c r="C95" s="162" t="s">
        <v>153</v>
      </c>
      <c r="D95" s="162" t="s">
        <v>158</v>
      </c>
      <c r="E95" s="164">
        <v>15000</v>
      </c>
      <c r="F95" s="162">
        <v>1020</v>
      </c>
      <c r="G95" s="162">
        <f t="shared" si="7"/>
        <v>14.705882352941176</v>
      </c>
      <c r="H95" s="162"/>
      <c r="I95" s="164">
        <f t="shared" si="9"/>
        <v>15000</v>
      </c>
      <c r="J95" s="181">
        <f t="shared" si="6"/>
        <v>0</v>
      </c>
      <c r="K95" s="162" t="s">
        <v>187</v>
      </c>
      <c r="L95" s="162"/>
    </row>
    <row r="96" spans="1:12" ht="23.5" customHeight="1">
      <c r="A96" s="162" t="s">
        <v>188</v>
      </c>
      <c r="B96" s="163">
        <v>45987</v>
      </c>
      <c r="C96" s="162" t="s">
        <v>153</v>
      </c>
      <c r="D96" s="162" t="s">
        <v>158</v>
      </c>
      <c r="E96" s="164">
        <v>15000</v>
      </c>
      <c r="F96" s="162">
        <v>1020</v>
      </c>
      <c r="G96" s="162">
        <f t="shared" si="7"/>
        <v>14.705882352941176</v>
      </c>
      <c r="H96" s="162"/>
      <c r="I96" s="164">
        <f t="shared" si="9"/>
        <v>15000</v>
      </c>
      <c r="J96" s="181">
        <f t="shared" si="6"/>
        <v>0</v>
      </c>
      <c r="K96" s="162" t="s">
        <v>189</v>
      </c>
      <c r="L96" s="162"/>
    </row>
    <row r="97" spans="1:12" ht="23.5" customHeight="1">
      <c r="A97" s="162" t="s">
        <v>190</v>
      </c>
      <c r="B97" s="163">
        <v>45988</v>
      </c>
      <c r="C97" s="162" t="s">
        <v>153</v>
      </c>
      <c r="D97" s="162" t="s">
        <v>158</v>
      </c>
      <c r="E97" s="164">
        <v>10000</v>
      </c>
      <c r="F97" s="162">
        <v>1020</v>
      </c>
      <c r="G97" s="162">
        <f t="shared" si="7"/>
        <v>9.8039215686274517</v>
      </c>
      <c r="H97" s="162"/>
      <c r="I97" s="164">
        <f t="shared" si="9"/>
        <v>10000</v>
      </c>
      <c r="J97" s="181">
        <f t="shared" si="6"/>
        <v>0</v>
      </c>
      <c r="K97" s="162" t="s">
        <v>191</v>
      </c>
      <c r="L97" s="162"/>
    </row>
    <row r="98" spans="1:12" ht="23.5" customHeight="1">
      <c r="A98" s="162" t="s">
        <v>192</v>
      </c>
      <c r="B98" s="163">
        <v>45989</v>
      </c>
      <c r="C98" s="162" t="s">
        <v>153</v>
      </c>
      <c r="D98" s="162" t="s">
        <v>158</v>
      </c>
      <c r="E98" s="164">
        <v>15000</v>
      </c>
      <c r="F98" s="162">
        <v>1020</v>
      </c>
      <c r="G98" s="162">
        <f t="shared" si="7"/>
        <v>14.705882352941176</v>
      </c>
      <c r="H98" s="162"/>
      <c r="I98" s="164">
        <f t="shared" si="9"/>
        <v>15000</v>
      </c>
      <c r="J98" s="181">
        <f t="shared" si="6"/>
        <v>0</v>
      </c>
      <c r="K98" s="162" t="s">
        <v>193</v>
      </c>
      <c r="L98" s="162"/>
    </row>
    <row r="99" spans="1:12" ht="23.5" customHeight="1">
      <c r="A99" s="162" t="s">
        <v>194</v>
      </c>
      <c r="B99" s="163">
        <v>45990</v>
      </c>
      <c r="C99" s="162" t="s">
        <v>153</v>
      </c>
      <c r="D99" s="162" t="s">
        <v>158</v>
      </c>
      <c r="E99" s="164">
        <v>20000</v>
      </c>
      <c r="F99" s="162">
        <v>1020</v>
      </c>
      <c r="G99" s="162">
        <f t="shared" si="7"/>
        <v>19.607843137254903</v>
      </c>
      <c r="H99" s="162"/>
      <c r="I99" s="164">
        <f t="shared" si="9"/>
        <v>20000</v>
      </c>
      <c r="J99" s="181">
        <f t="shared" si="6"/>
        <v>0</v>
      </c>
      <c r="K99" s="162" t="s">
        <v>195</v>
      </c>
      <c r="L99" s="162"/>
    </row>
    <row r="100" spans="1:12" ht="23.5" customHeight="1">
      <c r="A100" s="162" t="s">
        <v>196</v>
      </c>
      <c r="B100" s="163">
        <v>45992</v>
      </c>
      <c r="C100" s="162" t="s">
        <v>153</v>
      </c>
      <c r="D100" s="162" t="s">
        <v>158</v>
      </c>
      <c r="E100" s="164">
        <v>15000</v>
      </c>
      <c r="F100" s="162">
        <v>1020</v>
      </c>
      <c r="G100" s="162">
        <f t="shared" si="7"/>
        <v>14.705882352941176</v>
      </c>
      <c r="H100" s="162"/>
      <c r="I100" s="164">
        <f t="shared" si="9"/>
        <v>15000</v>
      </c>
      <c r="J100" s="181">
        <f t="shared" si="6"/>
        <v>0</v>
      </c>
      <c r="K100" s="162" t="s">
        <v>197</v>
      </c>
      <c r="L100" s="162"/>
    </row>
    <row r="101" spans="1:12" ht="23.5" customHeight="1">
      <c r="A101" s="162" t="s">
        <v>198</v>
      </c>
      <c r="B101" s="163">
        <v>45993</v>
      </c>
      <c r="C101" s="162" t="s">
        <v>153</v>
      </c>
      <c r="D101" s="162" t="s">
        <v>158</v>
      </c>
      <c r="E101" s="164">
        <v>10000</v>
      </c>
      <c r="F101" s="162">
        <v>1020</v>
      </c>
      <c r="G101" s="162">
        <f t="shared" si="7"/>
        <v>9.8039215686274517</v>
      </c>
      <c r="H101" s="162"/>
      <c r="I101" s="164">
        <f t="shared" si="9"/>
        <v>10000</v>
      </c>
      <c r="J101" s="181">
        <f t="shared" si="6"/>
        <v>0</v>
      </c>
      <c r="K101" s="162" t="s">
        <v>199</v>
      </c>
      <c r="L101" s="162"/>
    </row>
    <row r="102" spans="1:12" ht="23.5" customHeight="1">
      <c r="A102" s="162" t="s">
        <v>200</v>
      </c>
      <c r="B102" s="163">
        <v>45995</v>
      </c>
      <c r="C102" s="162" t="s">
        <v>153</v>
      </c>
      <c r="D102" s="162" t="s">
        <v>158</v>
      </c>
      <c r="E102" s="164">
        <v>20000</v>
      </c>
      <c r="F102" s="162">
        <v>1020</v>
      </c>
      <c r="G102" s="162">
        <f t="shared" si="7"/>
        <v>19.607843137254903</v>
      </c>
      <c r="H102" s="162"/>
      <c r="I102" s="164">
        <f>(F102*G102)</f>
        <v>20000</v>
      </c>
      <c r="J102" s="181">
        <f t="shared" si="6"/>
        <v>0</v>
      </c>
      <c r="K102" s="162" t="s">
        <v>201</v>
      </c>
      <c r="L102" s="162"/>
    </row>
    <row r="103" spans="1:12" ht="23.5" customHeight="1">
      <c r="A103" s="162" t="s">
        <v>202</v>
      </c>
      <c r="B103" s="163">
        <v>45997</v>
      </c>
      <c r="C103" s="162" t="s">
        <v>153</v>
      </c>
      <c r="D103" s="162" t="s">
        <v>158</v>
      </c>
      <c r="E103" s="164">
        <v>10000</v>
      </c>
      <c r="F103" s="162">
        <v>1020</v>
      </c>
      <c r="G103" s="162">
        <f t="shared" si="7"/>
        <v>9.8039215686274517</v>
      </c>
      <c r="H103" s="162"/>
      <c r="I103" s="164">
        <f>(F103*G103)</f>
        <v>10000</v>
      </c>
      <c r="J103" s="181">
        <f>(E103-I103)</f>
        <v>0</v>
      </c>
      <c r="K103" s="162" t="s">
        <v>203</v>
      </c>
      <c r="L103" s="162"/>
    </row>
    <row r="104" spans="1:12" ht="23.5" customHeight="1">
      <c r="A104" s="162" t="s">
        <v>516</v>
      </c>
      <c r="B104" s="163">
        <v>45999</v>
      </c>
      <c r="C104" s="162" t="s">
        <v>153</v>
      </c>
      <c r="D104" s="162" t="s">
        <v>158</v>
      </c>
      <c r="E104" s="164">
        <v>25000</v>
      </c>
      <c r="F104" s="162">
        <v>1020</v>
      </c>
      <c r="G104" s="162">
        <f t="shared" si="7"/>
        <v>24.509803921568629</v>
      </c>
      <c r="H104" s="162"/>
      <c r="I104" s="164">
        <f>(F104*G104)</f>
        <v>25000</v>
      </c>
      <c r="J104" s="181">
        <f t="shared" ref="J104:J109" si="10">(E104-I104)</f>
        <v>0</v>
      </c>
      <c r="K104" s="162" t="s">
        <v>484</v>
      </c>
      <c r="L104" s="162"/>
    </row>
    <row r="105" spans="1:12" ht="23.5" customHeight="1">
      <c r="A105" s="162" t="s">
        <v>517</v>
      </c>
      <c r="B105" s="163">
        <v>46003</v>
      </c>
      <c r="C105" s="162" t="s">
        <v>153</v>
      </c>
      <c r="D105" s="162" t="s">
        <v>158</v>
      </c>
      <c r="E105" s="164">
        <v>25500</v>
      </c>
      <c r="F105" s="162">
        <v>1020</v>
      </c>
      <c r="G105" s="162">
        <f t="shared" si="7"/>
        <v>25</v>
      </c>
      <c r="H105" s="162"/>
      <c r="I105" s="164">
        <f>(F105*G105)</f>
        <v>25500</v>
      </c>
      <c r="J105" s="181">
        <f t="shared" si="10"/>
        <v>0</v>
      </c>
      <c r="K105" s="162" t="s">
        <v>485</v>
      </c>
      <c r="L105" s="162"/>
    </row>
    <row r="106" spans="1:12" ht="23.5" customHeight="1">
      <c r="A106" s="162" t="s">
        <v>518</v>
      </c>
      <c r="B106" s="163"/>
      <c r="C106" s="162" t="s">
        <v>153</v>
      </c>
      <c r="D106" s="162" t="s">
        <v>158</v>
      </c>
      <c r="E106" s="164" t="s">
        <v>512</v>
      </c>
      <c r="F106" s="162"/>
      <c r="G106" s="162"/>
      <c r="H106" s="162"/>
      <c r="I106" s="164">
        <f>(F106*G106)</f>
        <v>0</v>
      </c>
      <c r="J106" s="181" t="e">
        <f t="shared" si="10"/>
        <v>#VALUE!</v>
      </c>
      <c r="K106" s="162" t="s">
        <v>486</v>
      </c>
      <c r="L106" s="162"/>
    </row>
    <row r="107" spans="1:12" ht="23.5" customHeight="1">
      <c r="A107" s="162" t="s">
        <v>519</v>
      </c>
      <c r="B107" s="163"/>
      <c r="C107" s="162" t="s">
        <v>153</v>
      </c>
      <c r="D107" s="162" t="s">
        <v>158</v>
      </c>
      <c r="E107" s="164"/>
      <c r="F107" s="162"/>
      <c r="G107" s="162"/>
      <c r="H107" s="162"/>
      <c r="I107" s="164">
        <f t="shared" ref="I107:I109" si="11">(F107*G107)</f>
        <v>0</v>
      </c>
      <c r="J107" s="181">
        <f t="shared" si="10"/>
        <v>0</v>
      </c>
      <c r="K107" s="162" t="s">
        <v>487</v>
      </c>
      <c r="L107" s="162"/>
    </row>
    <row r="108" spans="1:12" ht="23.5" customHeight="1">
      <c r="A108" s="162" t="s">
        <v>520</v>
      </c>
      <c r="B108" s="163"/>
      <c r="C108" s="162" t="s">
        <v>153</v>
      </c>
      <c r="D108" s="162" t="s">
        <v>158</v>
      </c>
      <c r="E108" s="164"/>
      <c r="F108" s="162"/>
      <c r="G108" s="162"/>
      <c r="H108" s="162"/>
      <c r="I108" s="164">
        <f t="shared" si="11"/>
        <v>0</v>
      </c>
      <c r="J108" s="181">
        <f t="shared" si="10"/>
        <v>0</v>
      </c>
      <c r="K108" s="162" t="s">
        <v>488</v>
      </c>
      <c r="L108" s="162"/>
    </row>
    <row r="109" spans="1:12" ht="23.5" customHeight="1">
      <c r="A109" s="162" t="s">
        <v>521</v>
      </c>
      <c r="B109" s="163"/>
      <c r="C109" s="162" t="s">
        <v>153</v>
      </c>
      <c r="D109" s="162" t="s">
        <v>158</v>
      </c>
      <c r="E109" s="164"/>
      <c r="F109" s="162"/>
      <c r="G109" s="162"/>
      <c r="H109" s="162"/>
      <c r="I109" s="164">
        <f t="shared" si="11"/>
        <v>0</v>
      </c>
      <c r="J109" s="181">
        <f t="shared" si="10"/>
        <v>0</v>
      </c>
      <c r="K109" s="162"/>
      <c r="L109" s="162"/>
    </row>
    <row r="110" spans="1:12" ht="40.5" customHeight="1">
      <c r="A110" s="165" t="s">
        <v>204</v>
      </c>
      <c r="B110" s="166"/>
      <c r="C110" s="165" t="s">
        <v>153</v>
      </c>
      <c r="D110" s="165" t="s">
        <v>205</v>
      </c>
      <c r="E110" s="167"/>
      <c r="F110" s="165">
        <v>1020</v>
      </c>
      <c r="G110" s="165">
        <f t="shared" si="7"/>
        <v>0</v>
      </c>
      <c r="H110" s="165"/>
      <c r="I110" s="167">
        <f t="shared" si="8"/>
        <v>0</v>
      </c>
      <c r="J110" s="167">
        <f t="shared" si="6"/>
        <v>0</v>
      </c>
      <c r="K110" s="165"/>
      <c r="L110" s="165"/>
    </row>
    <row r="111" spans="1:12" ht="23.5" customHeight="1">
      <c r="A111" s="162" t="s">
        <v>206</v>
      </c>
      <c r="B111" s="163">
        <v>45968</v>
      </c>
      <c r="C111" s="162" t="s">
        <v>153</v>
      </c>
      <c r="D111" s="162" t="s">
        <v>207</v>
      </c>
      <c r="E111" s="164">
        <v>5000</v>
      </c>
      <c r="F111" s="162">
        <v>1020</v>
      </c>
      <c r="G111" s="162">
        <f t="shared" si="7"/>
        <v>4.9019607843137258</v>
      </c>
      <c r="H111" s="162"/>
      <c r="I111" s="164">
        <f t="shared" si="8"/>
        <v>5000</v>
      </c>
      <c r="J111" s="181">
        <f t="shared" si="6"/>
        <v>0</v>
      </c>
      <c r="K111" s="162" t="s">
        <v>163</v>
      </c>
      <c r="L111" s="162"/>
    </row>
    <row r="112" spans="1:12" ht="23.5" customHeight="1">
      <c r="A112" s="162" t="s">
        <v>208</v>
      </c>
      <c r="B112" s="163">
        <v>45969</v>
      </c>
      <c r="C112" s="162" t="s">
        <v>153</v>
      </c>
      <c r="D112" s="162" t="s">
        <v>207</v>
      </c>
      <c r="E112" s="164">
        <v>5000</v>
      </c>
      <c r="F112" s="162">
        <v>1020</v>
      </c>
      <c r="G112" s="162">
        <f t="shared" si="7"/>
        <v>4.9019607843137258</v>
      </c>
      <c r="H112" s="162"/>
      <c r="I112" s="164">
        <f t="shared" si="8"/>
        <v>5000</v>
      </c>
      <c r="J112" s="181">
        <f t="shared" si="6"/>
        <v>0</v>
      </c>
      <c r="K112" s="162" t="s">
        <v>165</v>
      </c>
      <c r="L112" s="162"/>
    </row>
    <row r="113" spans="1:51" ht="23.5" customHeight="1">
      <c r="A113" s="162" t="s">
        <v>209</v>
      </c>
      <c r="B113" s="163">
        <v>45971</v>
      </c>
      <c r="C113" s="162" t="s">
        <v>153</v>
      </c>
      <c r="D113" s="162" t="s">
        <v>207</v>
      </c>
      <c r="E113" s="164">
        <v>5000</v>
      </c>
      <c r="F113" s="162">
        <v>1020</v>
      </c>
      <c r="G113" s="162">
        <f t="shared" si="7"/>
        <v>4.9019607843137258</v>
      </c>
      <c r="H113" s="162"/>
      <c r="I113" s="164">
        <f t="shared" si="8"/>
        <v>5000</v>
      </c>
      <c r="J113" s="181">
        <f t="shared" si="6"/>
        <v>0</v>
      </c>
      <c r="K113" s="162" t="s">
        <v>167</v>
      </c>
      <c r="L113" s="162"/>
    </row>
    <row r="114" spans="1:51" ht="23.5" customHeight="1">
      <c r="A114" s="162" t="s">
        <v>210</v>
      </c>
      <c r="B114" s="163">
        <v>45979</v>
      </c>
      <c r="C114" s="162" t="s">
        <v>153</v>
      </c>
      <c r="D114" s="162" t="s">
        <v>207</v>
      </c>
      <c r="E114" s="164">
        <v>3000</v>
      </c>
      <c r="F114" s="162">
        <v>1020</v>
      </c>
      <c r="G114" s="162">
        <f t="shared" si="7"/>
        <v>2.9411764705882355</v>
      </c>
      <c r="H114" s="162"/>
      <c r="I114" s="164">
        <f t="shared" si="8"/>
        <v>3000</v>
      </c>
      <c r="J114" s="181">
        <f t="shared" si="6"/>
        <v>0</v>
      </c>
      <c r="K114" s="162"/>
      <c r="L114" s="162"/>
    </row>
    <row r="115" spans="1:51" ht="23.5" customHeight="1">
      <c r="A115" s="162" t="s">
        <v>211</v>
      </c>
      <c r="B115" s="163">
        <v>45983</v>
      </c>
      <c r="C115" s="162" t="s">
        <v>153</v>
      </c>
      <c r="D115" s="162" t="s">
        <v>212</v>
      </c>
      <c r="E115" s="164">
        <v>5000</v>
      </c>
      <c r="F115" s="162">
        <v>1020</v>
      </c>
      <c r="G115" s="162">
        <f t="shared" si="7"/>
        <v>4.9019607843137258</v>
      </c>
      <c r="H115" s="162"/>
      <c r="I115" s="164">
        <f t="shared" si="8"/>
        <v>5000</v>
      </c>
      <c r="J115" s="182">
        <f t="shared" si="6"/>
        <v>0</v>
      </c>
      <c r="K115" s="162"/>
      <c r="L115" s="162"/>
    </row>
    <row r="116" spans="1:51" ht="23.5" customHeight="1">
      <c r="A116" s="162" t="s">
        <v>213</v>
      </c>
      <c r="B116" s="163">
        <v>45986</v>
      </c>
      <c r="C116" s="162" t="s">
        <v>153</v>
      </c>
      <c r="D116" s="162" t="s">
        <v>212</v>
      </c>
      <c r="E116" s="164">
        <v>5000</v>
      </c>
      <c r="F116" s="162">
        <v>1020</v>
      </c>
      <c r="G116" s="162">
        <f t="shared" si="7"/>
        <v>4.9019607843137258</v>
      </c>
      <c r="H116" s="162"/>
      <c r="I116" s="164">
        <f t="shared" si="8"/>
        <v>5000</v>
      </c>
      <c r="J116" s="182">
        <f t="shared" si="6"/>
        <v>0</v>
      </c>
      <c r="K116" s="162"/>
      <c r="L116" s="162"/>
    </row>
    <row r="117" spans="1:51" ht="23.5" customHeight="1">
      <c r="A117" s="162" t="s">
        <v>523</v>
      </c>
      <c r="B117" s="163">
        <v>45987</v>
      </c>
      <c r="C117" s="162" t="s">
        <v>153</v>
      </c>
      <c r="D117" s="162" t="s">
        <v>207</v>
      </c>
      <c r="E117" s="164">
        <v>3000</v>
      </c>
      <c r="F117" s="162">
        <v>1020</v>
      </c>
      <c r="G117" s="162">
        <f t="shared" si="7"/>
        <v>2.9411764705882355</v>
      </c>
      <c r="H117" s="162"/>
      <c r="I117" s="164">
        <f t="shared" si="8"/>
        <v>3000</v>
      </c>
      <c r="J117" s="182">
        <f t="shared" si="6"/>
        <v>0</v>
      </c>
      <c r="K117" s="162"/>
      <c r="L117" s="162"/>
    </row>
    <row r="118" spans="1:51" ht="23.5" customHeight="1">
      <c r="A118" s="162" t="s">
        <v>524</v>
      </c>
      <c r="B118" s="163">
        <v>45990</v>
      </c>
      <c r="C118" s="162" t="s">
        <v>153</v>
      </c>
      <c r="D118" s="162" t="s">
        <v>212</v>
      </c>
      <c r="E118" s="164">
        <v>4000</v>
      </c>
      <c r="F118" s="162">
        <v>1020</v>
      </c>
      <c r="G118" s="162">
        <f t="shared" si="7"/>
        <v>3.9215686274509802</v>
      </c>
      <c r="H118" s="162"/>
      <c r="I118" s="164">
        <f t="shared" si="8"/>
        <v>4000</v>
      </c>
      <c r="J118" s="182">
        <f t="shared" si="6"/>
        <v>0</v>
      </c>
      <c r="K118" s="162"/>
      <c r="L118" s="162"/>
    </row>
    <row r="119" spans="1:51" s="5" customFormat="1" ht="42" customHeight="1">
      <c r="A119" s="168">
        <v>4.2</v>
      </c>
      <c r="B119" s="169"/>
      <c r="C119" s="168" t="s">
        <v>153</v>
      </c>
      <c r="D119" s="168" t="s">
        <v>214</v>
      </c>
      <c r="E119" s="168">
        <f>SUM(E120:E127)</f>
        <v>25900</v>
      </c>
      <c r="F119" s="170"/>
      <c r="G119" s="168"/>
      <c r="H119" s="168" t="s">
        <v>14</v>
      </c>
      <c r="I119" s="170">
        <f>SUM(I120:I135)</f>
        <v>185900</v>
      </c>
      <c r="J119" s="179">
        <f t="shared" si="6"/>
        <v>-160000</v>
      </c>
      <c r="K119" s="168" t="s">
        <v>215</v>
      </c>
      <c r="L119" s="168" t="s">
        <v>216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</row>
    <row r="120" spans="1:51" s="5" customFormat="1" ht="25.5" customHeight="1">
      <c r="A120" s="171" t="s">
        <v>217</v>
      </c>
      <c r="B120" s="172">
        <v>45966</v>
      </c>
      <c r="C120" s="171" t="s">
        <v>153</v>
      </c>
      <c r="D120" s="171" t="s">
        <v>218</v>
      </c>
      <c r="E120" s="171">
        <v>8000</v>
      </c>
      <c r="F120" s="173">
        <v>4000</v>
      </c>
      <c r="G120" s="171">
        <v>2</v>
      </c>
      <c r="H120" s="171"/>
      <c r="I120" s="173">
        <f>(F120*G120)</f>
        <v>8000</v>
      </c>
      <c r="J120" s="183">
        <f t="shared" si="6"/>
        <v>0</v>
      </c>
      <c r="K120" s="171" t="s">
        <v>219</v>
      </c>
      <c r="L120" s="17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</row>
    <row r="121" spans="1:51" s="5" customFormat="1" ht="32.5" customHeight="1">
      <c r="A121" s="171" t="s">
        <v>220</v>
      </c>
      <c r="B121" s="172">
        <v>45967</v>
      </c>
      <c r="C121" s="171" t="s">
        <v>221</v>
      </c>
      <c r="D121" s="171" t="s">
        <v>222</v>
      </c>
      <c r="E121" s="171">
        <v>5000</v>
      </c>
      <c r="F121" s="173">
        <v>5000</v>
      </c>
      <c r="G121" s="171">
        <v>1</v>
      </c>
      <c r="H121" s="171"/>
      <c r="I121" s="173">
        <f t="shared" ref="I121:I131" si="12">(F121*G121)</f>
        <v>5000</v>
      </c>
      <c r="J121" s="183">
        <f t="shared" si="6"/>
        <v>0</v>
      </c>
      <c r="K121" s="171" t="s">
        <v>223</v>
      </c>
      <c r="L121" s="17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</row>
    <row r="122" spans="1:51" s="5" customFormat="1" ht="25.5" customHeight="1">
      <c r="A122" s="171" t="s">
        <v>224</v>
      </c>
      <c r="B122" s="172">
        <v>45972</v>
      </c>
      <c r="C122" s="171" t="s">
        <v>153</v>
      </c>
      <c r="D122" s="171" t="s">
        <v>225</v>
      </c>
      <c r="E122" s="171">
        <v>4000</v>
      </c>
      <c r="F122" s="173">
        <v>4000</v>
      </c>
      <c r="G122" s="171">
        <v>1</v>
      </c>
      <c r="H122" s="171"/>
      <c r="I122" s="173">
        <f t="shared" si="12"/>
        <v>4000</v>
      </c>
      <c r="J122" s="183">
        <f t="shared" si="6"/>
        <v>0</v>
      </c>
      <c r="K122" s="171" t="s">
        <v>226</v>
      </c>
      <c r="L122" s="171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</row>
    <row r="123" spans="1:51" s="5" customFormat="1" ht="25.5" customHeight="1">
      <c r="A123" s="171" t="s">
        <v>227</v>
      </c>
      <c r="B123" s="172">
        <v>45972</v>
      </c>
      <c r="C123" s="171" t="s">
        <v>153</v>
      </c>
      <c r="D123" s="171" t="s">
        <v>228</v>
      </c>
      <c r="E123" s="171">
        <v>500</v>
      </c>
      <c r="F123" s="173">
        <v>500</v>
      </c>
      <c r="G123" s="171">
        <v>1</v>
      </c>
      <c r="H123" s="171"/>
      <c r="I123" s="173">
        <f t="shared" si="12"/>
        <v>500</v>
      </c>
      <c r="J123" s="183">
        <f t="shared" si="6"/>
        <v>0</v>
      </c>
      <c r="K123" s="171" t="s">
        <v>229</v>
      </c>
      <c r="L123" s="17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</row>
    <row r="124" spans="1:51" s="5" customFormat="1" ht="25.5" customHeight="1">
      <c r="A124" s="171" t="s">
        <v>230</v>
      </c>
      <c r="B124" s="172">
        <v>45974</v>
      </c>
      <c r="C124" s="171" t="s">
        <v>153</v>
      </c>
      <c r="D124" s="171" t="s">
        <v>228</v>
      </c>
      <c r="E124" s="171">
        <v>400</v>
      </c>
      <c r="F124" s="173">
        <v>400</v>
      </c>
      <c r="G124" s="171">
        <v>1</v>
      </c>
      <c r="H124" s="171"/>
      <c r="I124" s="173">
        <f t="shared" si="12"/>
        <v>400</v>
      </c>
      <c r="J124" s="183">
        <f t="shared" si="6"/>
        <v>0</v>
      </c>
      <c r="K124" s="171" t="s">
        <v>231</v>
      </c>
      <c r="L124" s="17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</row>
    <row r="125" spans="1:51" s="5" customFormat="1" ht="25.5" customHeight="1">
      <c r="A125" s="171" t="s">
        <v>232</v>
      </c>
      <c r="B125" s="172">
        <v>45978</v>
      </c>
      <c r="C125" s="171" t="s">
        <v>153</v>
      </c>
      <c r="D125" s="171" t="s">
        <v>225</v>
      </c>
      <c r="E125" s="171">
        <v>4000</v>
      </c>
      <c r="F125" s="173">
        <v>4000</v>
      </c>
      <c r="G125" s="171">
        <v>1</v>
      </c>
      <c r="H125" s="171"/>
      <c r="I125" s="173">
        <f t="shared" si="12"/>
        <v>4000</v>
      </c>
      <c r="J125" s="183">
        <f t="shared" si="6"/>
        <v>0</v>
      </c>
      <c r="K125" s="171" t="s">
        <v>233</v>
      </c>
      <c r="L125" s="17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</row>
    <row r="126" spans="1:51" s="5" customFormat="1" ht="25.5" customHeight="1">
      <c r="A126" s="171" t="s">
        <v>234</v>
      </c>
      <c r="B126" s="172">
        <v>45979</v>
      </c>
      <c r="C126" s="171" t="s">
        <v>153</v>
      </c>
      <c r="D126" s="171" t="s">
        <v>235</v>
      </c>
      <c r="E126" s="171">
        <v>2500</v>
      </c>
      <c r="F126" s="173">
        <v>2500</v>
      </c>
      <c r="G126" s="171">
        <v>1</v>
      </c>
      <c r="H126" s="171"/>
      <c r="I126" s="173">
        <f t="shared" si="12"/>
        <v>2500</v>
      </c>
      <c r="J126" s="183">
        <f t="shared" si="6"/>
        <v>0</v>
      </c>
      <c r="K126" s="171" t="s">
        <v>236</v>
      </c>
      <c r="L126" s="17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</row>
    <row r="127" spans="1:51" s="5" customFormat="1" ht="25.5" customHeight="1">
      <c r="A127" s="171" t="s">
        <v>237</v>
      </c>
      <c r="B127" s="172">
        <v>45980</v>
      </c>
      <c r="C127" s="171" t="s">
        <v>153</v>
      </c>
      <c r="D127" s="171" t="s">
        <v>235</v>
      </c>
      <c r="E127" s="171">
        <v>1500</v>
      </c>
      <c r="F127" s="173">
        <v>1500</v>
      </c>
      <c r="G127" s="171">
        <v>1</v>
      </c>
      <c r="H127" s="171"/>
      <c r="I127" s="173">
        <f t="shared" si="12"/>
        <v>1500</v>
      </c>
      <c r="J127" s="183">
        <f t="shared" si="6"/>
        <v>0</v>
      </c>
      <c r="K127" s="171" t="s">
        <v>238</v>
      </c>
      <c r="L127" s="17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</row>
    <row r="128" spans="1:51" s="5" customFormat="1" ht="25.5" customHeight="1">
      <c r="A128" s="171" t="s">
        <v>239</v>
      </c>
      <c r="B128" s="172">
        <v>45985</v>
      </c>
      <c r="C128" s="171" t="s">
        <v>153</v>
      </c>
      <c r="D128" s="171" t="s">
        <v>225</v>
      </c>
      <c r="E128" s="171">
        <v>4000</v>
      </c>
      <c r="F128" s="173">
        <v>4000</v>
      </c>
      <c r="G128" s="171">
        <v>1</v>
      </c>
      <c r="H128" s="171"/>
      <c r="I128" s="173">
        <f t="shared" si="12"/>
        <v>4000</v>
      </c>
      <c r="J128" s="183">
        <f t="shared" si="6"/>
        <v>0</v>
      </c>
      <c r="K128" s="171" t="s">
        <v>240</v>
      </c>
      <c r="L128" s="17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</row>
    <row r="129" spans="1:51" s="5" customFormat="1" ht="25.5" customHeight="1">
      <c r="A129" s="171" t="s">
        <v>241</v>
      </c>
      <c r="B129" s="172">
        <v>45986</v>
      </c>
      <c r="C129" s="171" t="s">
        <v>153</v>
      </c>
      <c r="D129" s="171" t="s">
        <v>235</v>
      </c>
      <c r="E129" s="171">
        <v>2000</v>
      </c>
      <c r="F129" s="173">
        <v>2000</v>
      </c>
      <c r="G129" s="171">
        <v>1</v>
      </c>
      <c r="H129" s="171"/>
      <c r="I129" s="173">
        <f t="shared" si="12"/>
        <v>2000</v>
      </c>
      <c r="J129" s="183">
        <f t="shared" si="6"/>
        <v>0</v>
      </c>
      <c r="K129" s="171" t="s">
        <v>242</v>
      </c>
      <c r="L129" s="17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</row>
    <row r="130" spans="1:51" s="5" customFormat="1" ht="25.5" customHeight="1">
      <c r="A130" s="171" t="s">
        <v>525</v>
      </c>
      <c r="B130" s="172">
        <v>45987</v>
      </c>
      <c r="C130" s="171" t="s">
        <v>153</v>
      </c>
      <c r="D130" s="171" t="s">
        <v>483</v>
      </c>
      <c r="E130" s="171">
        <v>4000</v>
      </c>
      <c r="F130" s="173">
        <v>4000</v>
      </c>
      <c r="G130" s="171">
        <v>1</v>
      </c>
      <c r="H130" s="171"/>
      <c r="I130" s="173">
        <f t="shared" si="12"/>
        <v>4000</v>
      </c>
      <c r="J130" s="183">
        <f t="shared" si="6"/>
        <v>0</v>
      </c>
      <c r="K130" s="171"/>
      <c r="L130" s="17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</row>
    <row r="131" spans="1:51" s="5" customFormat="1" ht="25.5" customHeight="1">
      <c r="A131" s="171" t="s">
        <v>526</v>
      </c>
      <c r="B131" s="172">
        <v>45988</v>
      </c>
      <c r="C131" s="171" t="s">
        <v>153</v>
      </c>
      <c r="D131" s="171" t="s">
        <v>482</v>
      </c>
      <c r="E131" s="171">
        <v>150000</v>
      </c>
      <c r="F131" s="173">
        <v>150000</v>
      </c>
      <c r="G131" s="171">
        <v>1</v>
      </c>
      <c r="H131" s="171"/>
      <c r="I131" s="173">
        <f t="shared" si="12"/>
        <v>150000</v>
      </c>
      <c r="J131" s="183">
        <f t="shared" si="6"/>
        <v>0</v>
      </c>
      <c r="K131" s="171"/>
      <c r="L131" s="17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</row>
    <row r="132" spans="1:51" s="5" customFormat="1" ht="25.5" customHeight="1">
      <c r="A132" s="171"/>
      <c r="B132" s="172"/>
      <c r="C132" s="171"/>
      <c r="D132" s="171" t="s">
        <v>482</v>
      </c>
      <c r="E132" s="171"/>
      <c r="F132" s="173"/>
      <c r="G132" s="171"/>
      <c r="H132" s="171"/>
      <c r="I132" s="173"/>
      <c r="J132" s="183"/>
      <c r="K132" s="171"/>
      <c r="L132" s="17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</row>
    <row r="133" spans="1:51" s="5" customFormat="1" ht="25.5" customHeight="1">
      <c r="A133" s="171"/>
      <c r="B133" s="172"/>
      <c r="C133" s="171"/>
      <c r="D133" s="171" t="s">
        <v>482</v>
      </c>
      <c r="E133" s="171"/>
      <c r="F133" s="173"/>
      <c r="G133" s="171"/>
      <c r="H133" s="171"/>
      <c r="I133" s="173"/>
      <c r="J133" s="183"/>
      <c r="K133" s="171"/>
      <c r="L133" s="17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</row>
    <row r="134" spans="1:51" s="5" customFormat="1" ht="25.5" customHeight="1">
      <c r="A134" s="171"/>
      <c r="B134" s="172"/>
      <c r="C134" s="171"/>
      <c r="D134" s="171" t="s">
        <v>482</v>
      </c>
      <c r="E134" s="171"/>
      <c r="F134" s="173"/>
      <c r="G134" s="171"/>
      <c r="H134" s="171"/>
      <c r="I134" s="173"/>
      <c r="J134" s="183"/>
      <c r="K134" s="171"/>
      <c r="L134" s="17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</row>
    <row r="135" spans="1:51" s="5" customFormat="1" ht="25.5" customHeight="1">
      <c r="A135" s="171"/>
      <c r="B135" s="172"/>
      <c r="C135" s="171"/>
      <c r="D135" s="171" t="s">
        <v>482</v>
      </c>
      <c r="E135" s="171"/>
      <c r="F135" s="173"/>
      <c r="G135" s="171"/>
      <c r="H135" s="171"/>
      <c r="I135" s="173"/>
      <c r="J135" s="183"/>
      <c r="K135" s="171"/>
      <c r="L135" s="17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</row>
    <row r="136" spans="1:51" ht="31.5" customHeight="1">
      <c r="A136" s="168">
        <v>4.3</v>
      </c>
      <c r="B136" s="169"/>
      <c r="C136" s="168" t="s">
        <v>153</v>
      </c>
      <c r="D136" s="168" t="s">
        <v>243</v>
      </c>
      <c r="E136" s="168">
        <f>SUM(E137:E142)</f>
        <v>13500</v>
      </c>
      <c r="F136" s="170"/>
      <c r="G136" s="168" t="s">
        <v>101</v>
      </c>
      <c r="H136" s="168" t="s">
        <v>14</v>
      </c>
      <c r="I136" s="170">
        <f>SUM(I137:I162)</f>
        <v>79450</v>
      </c>
      <c r="J136" s="179">
        <f>(E136-I136)</f>
        <v>-65950</v>
      </c>
      <c r="K136" s="168" t="s">
        <v>244</v>
      </c>
      <c r="L136" s="168" t="s">
        <v>245</v>
      </c>
    </row>
    <row r="137" spans="1:51" ht="27">
      <c r="A137" s="184" t="s">
        <v>246</v>
      </c>
      <c r="B137" s="185">
        <v>45968</v>
      </c>
      <c r="C137" s="184" t="s">
        <v>153</v>
      </c>
      <c r="D137" s="184" t="s">
        <v>243</v>
      </c>
      <c r="E137" s="184">
        <v>1000</v>
      </c>
      <c r="F137" s="186">
        <v>1000</v>
      </c>
      <c r="G137" s="184">
        <v>1</v>
      </c>
      <c r="H137" s="184"/>
      <c r="I137" s="186">
        <f>(F137*G137)</f>
        <v>1000</v>
      </c>
      <c r="J137" s="209">
        <f t="shared" si="6"/>
        <v>0</v>
      </c>
      <c r="K137" s="184" t="s">
        <v>247</v>
      </c>
      <c r="L137" s="184" t="s">
        <v>245</v>
      </c>
    </row>
    <row r="138" spans="1:51" ht="27">
      <c r="A138" s="184" t="s">
        <v>248</v>
      </c>
      <c r="B138" s="185">
        <v>45969</v>
      </c>
      <c r="C138" s="184" t="s">
        <v>153</v>
      </c>
      <c r="D138" s="184" t="s">
        <v>243</v>
      </c>
      <c r="E138" s="184">
        <v>1500</v>
      </c>
      <c r="F138" s="186">
        <v>1500</v>
      </c>
      <c r="G138" s="184">
        <v>1</v>
      </c>
      <c r="H138" s="184"/>
      <c r="I138" s="186">
        <f t="shared" ref="I138:I157" si="13">(F138*G138)</f>
        <v>1500</v>
      </c>
      <c r="J138" s="209">
        <f t="shared" si="6"/>
        <v>0</v>
      </c>
      <c r="K138" s="184" t="s">
        <v>249</v>
      </c>
      <c r="L138" s="184" t="s">
        <v>245</v>
      </c>
    </row>
    <row r="139" spans="1:51" ht="27">
      <c r="A139" s="184" t="s">
        <v>250</v>
      </c>
      <c r="B139" s="185">
        <v>45971</v>
      </c>
      <c r="C139" s="184" t="s">
        <v>153</v>
      </c>
      <c r="D139" s="184" t="s">
        <v>243</v>
      </c>
      <c r="E139" s="184">
        <v>1000</v>
      </c>
      <c r="F139" s="186">
        <v>1000</v>
      </c>
      <c r="G139" s="184">
        <v>1</v>
      </c>
      <c r="H139" s="184"/>
      <c r="I139" s="186">
        <f t="shared" si="13"/>
        <v>1000</v>
      </c>
      <c r="J139" s="209">
        <f t="shared" si="6"/>
        <v>0</v>
      </c>
      <c r="K139" s="184" t="s">
        <v>251</v>
      </c>
      <c r="L139" s="184" t="s">
        <v>245</v>
      </c>
    </row>
    <row r="140" spans="1:51" ht="27">
      <c r="A140" s="184" t="s">
        <v>252</v>
      </c>
      <c r="B140" s="185">
        <v>45972</v>
      </c>
      <c r="C140" s="184" t="s">
        <v>153</v>
      </c>
      <c r="D140" s="184" t="s">
        <v>243</v>
      </c>
      <c r="E140" s="184">
        <v>1000</v>
      </c>
      <c r="F140" s="186">
        <v>1000</v>
      </c>
      <c r="G140" s="184">
        <v>1</v>
      </c>
      <c r="H140" s="184"/>
      <c r="I140" s="186">
        <f t="shared" si="13"/>
        <v>1000</v>
      </c>
      <c r="J140" s="209">
        <f t="shared" si="6"/>
        <v>0</v>
      </c>
      <c r="K140" s="184" t="s">
        <v>253</v>
      </c>
      <c r="L140" s="184" t="s">
        <v>245</v>
      </c>
    </row>
    <row r="141" spans="1:51" ht="31.5" customHeight="1">
      <c r="A141" s="184" t="s">
        <v>254</v>
      </c>
      <c r="B141" s="185">
        <v>45973</v>
      </c>
      <c r="C141" s="184" t="s">
        <v>153</v>
      </c>
      <c r="D141" s="184" t="s">
        <v>255</v>
      </c>
      <c r="E141" s="184">
        <v>8000</v>
      </c>
      <c r="F141" s="186">
        <v>2600</v>
      </c>
      <c r="G141" s="184">
        <v>3</v>
      </c>
      <c r="H141" s="184"/>
      <c r="I141" s="186">
        <f t="shared" si="13"/>
        <v>7800</v>
      </c>
      <c r="J141" s="209">
        <f t="shared" si="6"/>
        <v>200</v>
      </c>
      <c r="K141" s="184" t="s">
        <v>256</v>
      </c>
      <c r="L141" s="184" t="s">
        <v>245</v>
      </c>
    </row>
    <row r="142" spans="1:51" ht="27.5" customHeight="1">
      <c r="A142" s="184" t="s">
        <v>257</v>
      </c>
      <c r="B142" s="185">
        <v>45974</v>
      </c>
      <c r="C142" s="184" t="s">
        <v>153</v>
      </c>
      <c r="D142" s="184" t="s">
        <v>258</v>
      </c>
      <c r="E142" s="184">
        <v>1000</v>
      </c>
      <c r="F142" s="186">
        <v>1000</v>
      </c>
      <c r="G142" s="184">
        <v>1</v>
      </c>
      <c r="H142" s="184"/>
      <c r="I142" s="186">
        <f t="shared" si="13"/>
        <v>1000</v>
      </c>
      <c r="J142" s="209">
        <f t="shared" si="6"/>
        <v>0</v>
      </c>
      <c r="K142" s="184" t="s">
        <v>259</v>
      </c>
      <c r="L142" s="184" t="s">
        <v>245</v>
      </c>
    </row>
    <row r="143" spans="1:51" ht="27.5" customHeight="1">
      <c r="A143" s="184" t="s">
        <v>260</v>
      </c>
      <c r="B143" s="185">
        <v>45975</v>
      </c>
      <c r="C143" s="184" t="s">
        <v>153</v>
      </c>
      <c r="D143" s="184" t="s">
        <v>258</v>
      </c>
      <c r="E143" s="184">
        <v>1000</v>
      </c>
      <c r="F143" s="186">
        <v>1000</v>
      </c>
      <c r="G143" s="184">
        <v>1</v>
      </c>
      <c r="H143" s="184"/>
      <c r="I143" s="186">
        <f t="shared" si="13"/>
        <v>1000</v>
      </c>
      <c r="J143" s="209">
        <f t="shared" si="6"/>
        <v>0</v>
      </c>
      <c r="K143" s="184" t="s">
        <v>261</v>
      </c>
      <c r="L143" s="184" t="s">
        <v>245</v>
      </c>
    </row>
    <row r="144" spans="1:51" ht="27.5" customHeight="1">
      <c r="A144" s="184" t="s">
        <v>262</v>
      </c>
      <c r="B144" s="185">
        <v>45976</v>
      </c>
      <c r="C144" s="184" t="s">
        <v>153</v>
      </c>
      <c r="D144" s="184" t="s">
        <v>258</v>
      </c>
      <c r="E144" s="184">
        <v>1000</v>
      </c>
      <c r="F144" s="186">
        <v>1000</v>
      </c>
      <c r="G144" s="184">
        <v>1</v>
      </c>
      <c r="H144" s="184"/>
      <c r="I144" s="186">
        <f t="shared" si="13"/>
        <v>1000</v>
      </c>
      <c r="J144" s="209">
        <f t="shared" si="6"/>
        <v>0</v>
      </c>
      <c r="K144" s="184" t="s">
        <v>263</v>
      </c>
      <c r="L144" s="184"/>
    </row>
    <row r="145" spans="1:12" ht="27.5" customHeight="1">
      <c r="A145" s="184" t="s">
        <v>264</v>
      </c>
      <c r="B145" s="185">
        <v>45977</v>
      </c>
      <c r="C145" s="184" t="s">
        <v>153</v>
      </c>
      <c r="D145" s="184" t="s">
        <v>258</v>
      </c>
      <c r="E145" s="184">
        <v>1000</v>
      </c>
      <c r="F145" s="186">
        <v>1000</v>
      </c>
      <c r="G145" s="184">
        <v>2</v>
      </c>
      <c r="H145" s="184"/>
      <c r="I145" s="186">
        <f t="shared" si="13"/>
        <v>2000</v>
      </c>
      <c r="J145" s="209">
        <f t="shared" si="6"/>
        <v>-1000</v>
      </c>
      <c r="K145" s="184" t="s">
        <v>265</v>
      </c>
      <c r="L145" s="184"/>
    </row>
    <row r="146" spans="1:12" ht="27.5" customHeight="1">
      <c r="A146" s="184" t="s">
        <v>266</v>
      </c>
      <c r="B146" s="185">
        <v>45978</v>
      </c>
      <c r="C146" s="184" t="s">
        <v>153</v>
      </c>
      <c r="D146" s="184" t="s">
        <v>258</v>
      </c>
      <c r="E146" s="184">
        <v>1000</v>
      </c>
      <c r="F146" s="186">
        <v>1000</v>
      </c>
      <c r="G146" s="184">
        <v>1</v>
      </c>
      <c r="H146" s="184"/>
      <c r="I146" s="186">
        <f t="shared" si="13"/>
        <v>1000</v>
      </c>
      <c r="J146" s="209">
        <f t="shared" si="6"/>
        <v>0</v>
      </c>
      <c r="K146" s="184" t="s">
        <v>267</v>
      </c>
      <c r="L146" s="184"/>
    </row>
    <row r="147" spans="1:12" ht="27.5" customHeight="1">
      <c r="A147" s="184" t="s">
        <v>268</v>
      </c>
      <c r="B147" s="185">
        <v>45979</v>
      </c>
      <c r="C147" s="184" t="s">
        <v>153</v>
      </c>
      <c r="D147" s="184" t="s">
        <v>258</v>
      </c>
      <c r="E147" s="184">
        <v>1000</v>
      </c>
      <c r="F147" s="186">
        <v>1000</v>
      </c>
      <c r="G147" s="184">
        <v>2</v>
      </c>
      <c r="H147" s="184"/>
      <c r="I147" s="186">
        <f t="shared" si="13"/>
        <v>2000</v>
      </c>
      <c r="J147" s="209">
        <f t="shared" si="6"/>
        <v>-1000</v>
      </c>
      <c r="K147" s="184" t="s">
        <v>269</v>
      </c>
      <c r="L147" s="184"/>
    </row>
    <row r="148" spans="1:12" ht="27.5" customHeight="1">
      <c r="A148" s="184" t="s">
        <v>270</v>
      </c>
      <c r="B148" s="185">
        <v>45980</v>
      </c>
      <c r="C148" s="184" t="s">
        <v>153</v>
      </c>
      <c r="D148" s="184" t="s">
        <v>258</v>
      </c>
      <c r="E148" s="184">
        <v>1000</v>
      </c>
      <c r="F148" s="186">
        <v>1000</v>
      </c>
      <c r="G148" s="184">
        <v>1</v>
      </c>
      <c r="H148" s="184"/>
      <c r="I148" s="186">
        <f t="shared" si="13"/>
        <v>1000</v>
      </c>
      <c r="J148" s="209">
        <f t="shared" si="6"/>
        <v>0</v>
      </c>
      <c r="K148" s="184" t="s">
        <v>271</v>
      </c>
      <c r="L148" s="184"/>
    </row>
    <row r="149" spans="1:12" ht="27.5" customHeight="1">
      <c r="A149" s="184" t="s">
        <v>272</v>
      </c>
      <c r="B149" s="185">
        <v>45981</v>
      </c>
      <c r="C149" s="184" t="s">
        <v>153</v>
      </c>
      <c r="D149" s="184" t="s">
        <v>258</v>
      </c>
      <c r="E149" s="184">
        <v>1000</v>
      </c>
      <c r="F149" s="186">
        <v>1000</v>
      </c>
      <c r="G149" s="184">
        <v>1</v>
      </c>
      <c r="H149" s="184"/>
      <c r="I149" s="186">
        <f t="shared" si="13"/>
        <v>1000</v>
      </c>
      <c r="J149" s="209">
        <f t="shared" si="6"/>
        <v>0</v>
      </c>
      <c r="K149" s="184" t="s">
        <v>273</v>
      </c>
      <c r="L149" s="184"/>
    </row>
    <row r="150" spans="1:12" ht="27.5" customHeight="1">
      <c r="A150" s="184" t="s">
        <v>274</v>
      </c>
      <c r="B150" s="185">
        <v>45982</v>
      </c>
      <c r="C150" s="184" t="s">
        <v>153</v>
      </c>
      <c r="D150" s="184" t="s">
        <v>258</v>
      </c>
      <c r="E150" s="184">
        <v>1000</v>
      </c>
      <c r="F150" s="186">
        <v>1000</v>
      </c>
      <c r="G150" s="184">
        <v>1</v>
      </c>
      <c r="H150" s="184"/>
      <c r="I150" s="186">
        <f t="shared" si="13"/>
        <v>1000</v>
      </c>
      <c r="J150" s="209">
        <f t="shared" si="6"/>
        <v>0</v>
      </c>
      <c r="K150" s="184" t="s">
        <v>275</v>
      </c>
      <c r="L150" s="184"/>
    </row>
    <row r="151" spans="1:12" ht="27.5" customHeight="1">
      <c r="A151" s="184" t="s">
        <v>276</v>
      </c>
      <c r="B151" s="185">
        <v>45983</v>
      </c>
      <c r="C151" s="184" t="s">
        <v>153</v>
      </c>
      <c r="D151" s="184" t="s">
        <v>258</v>
      </c>
      <c r="E151" s="184">
        <v>1000</v>
      </c>
      <c r="F151" s="186">
        <v>1000</v>
      </c>
      <c r="G151" s="184">
        <v>1</v>
      </c>
      <c r="H151" s="184"/>
      <c r="I151" s="186">
        <f t="shared" si="13"/>
        <v>1000</v>
      </c>
      <c r="J151" s="209">
        <f t="shared" si="6"/>
        <v>0</v>
      </c>
      <c r="K151" s="184" t="s">
        <v>277</v>
      </c>
      <c r="L151" s="184"/>
    </row>
    <row r="152" spans="1:12" ht="27.5" customHeight="1">
      <c r="A152" s="184" t="s">
        <v>278</v>
      </c>
      <c r="B152" s="185">
        <v>45984</v>
      </c>
      <c r="C152" s="184" t="s">
        <v>153</v>
      </c>
      <c r="D152" s="184" t="s">
        <v>258</v>
      </c>
      <c r="E152" s="184">
        <v>1000</v>
      </c>
      <c r="F152" s="186">
        <v>1000</v>
      </c>
      <c r="G152" s="184">
        <v>1</v>
      </c>
      <c r="H152" s="184"/>
      <c r="I152" s="186">
        <f t="shared" si="13"/>
        <v>1000</v>
      </c>
      <c r="J152" s="209">
        <f t="shared" ref="J152:J157" si="14">(E152-I152)</f>
        <v>0</v>
      </c>
      <c r="K152" s="184" t="s">
        <v>279</v>
      </c>
      <c r="L152" s="184"/>
    </row>
    <row r="153" spans="1:12" ht="27.5" customHeight="1">
      <c r="A153" s="184" t="s">
        <v>280</v>
      </c>
      <c r="B153" s="185">
        <v>45985</v>
      </c>
      <c r="C153" s="184" t="s">
        <v>153</v>
      </c>
      <c r="D153" s="184" t="s">
        <v>258</v>
      </c>
      <c r="E153" s="184">
        <v>1000</v>
      </c>
      <c r="F153" s="186">
        <v>1000</v>
      </c>
      <c r="G153" s="184">
        <v>1</v>
      </c>
      <c r="H153" s="184"/>
      <c r="I153" s="186">
        <f t="shared" si="13"/>
        <v>1000</v>
      </c>
      <c r="J153" s="209">
        <f t="shared" si="14"/>
        <v>0</v>
      </c>
      <c r="K153" s="184" t="s">
        <v>281</v>
      </c>
      <c r="L153" s="184"/>
    </row>
    <row r="154" spans="1:12" ht="27.5" customHeight="1">
      <c r="A154" s="184" t="s">
        <v>282</v>
      </c>
      <c r="B154" s="185">
        <v>45986</v>
      </c>
      <c r="C154" s="184" t="s">
        <v>153</v>
      </c>
      <c r="D154" s="184" t="s">
        <v>258</v>
      </c>
      <c r="E154" s="184">
        <v>1000</v>
      </c>
      <c r="F154" s="186">
        <v>1000</v>
      </c>
      <c r="G154" s="184">
        <v>1</v>
      </c>
      <c r="H154" s="184"/>
      <c r="I154" s="186">
        <f t="shared" si="13"/>
        <v>1000</v>
      </c>
      <c r="J154" s="209">
        <f t="shared" si="14"/>
        <v>0</v>
      </c>
      <c r="K154" s="184" t="s">
        <v>283</v>
      </c>
      <c r="L154" s="184"/>
    </row>
    <row r="155" spans="1:12" ht="27.5" customHeight="1">
      <c r="A155" s="184" t="s">
        <v>284</v>
      </c>
      <c r="B155" s="185">
        <v>45987</v>
      </c>
      <c r="C155" s="184" t="s">
        <v>153</v>
      </c>
      <c r="D155" s="184" t="s">
        <v>258</v>
      </c>
      <c r="E155" s="184">
        <v>1000</v>
      </c>
      <c r="F155" s="186">
        <v>1000</v>
      </c>
      <c r="G155" s="184">
        <v>1</v>
      </c>
      <c r="H155" s="184"/>
      <c r="I155" s="186">
        <f t="shared" si="13"/>
        <v>1000</v>
      </c>
      <c r="J155" s="209">
        <f t="shared" si="14"/>
        <v>0</v>
      </c>
      <c r="K155" s="184" t="s">
        <v>285</v>
      </c>
      <c r="L155" s="184"/>
    </row>
    <row r="156" spans="1:12" ht="27.5" customHeight="1">
      <c r="A156" s="184" t="s">
        <v>286</v>
      </c>
      <c r="B156" s="185">
        <v>45988</v>
      </c>
      <c r="C156" s="184" t="s">
        <v>153</v>
      </c>
      <c r="D156" s="184" t="s">
        <v>258</v>
      </c>
      <c r="E156" s="184">
        <v>1000</v>
      </c>
      <c r="F156" s="186">
        <v>1000</v>
      </c>
      <c r="G156" s="184">
        <v>1</v>
      </c>
      <c r="H156" s="184"/>
      <c r="I156" s="186">
        <f t="shared" si="13"/>
        <v>1000</v>
      </c>
      <c r="J156" s="209">
        <f t="shared" si="14"/>
        <v>0</v>
      </c>
      <c r="K156" s="184" t="s">
        <v>287</v>
      </c>
      <c r="L156" s="184"/>
    </row>
    <row r="157" spans="1:12" ht="27.5" customHeight="1">
      <c r="A157" s="184" t="s">
        <v>288</v>
      </c>
      <c r="B157" s="185">
        <v>45992</v>
      </c>
      <c r="C157" s="184" t="s">
        <v>153</v>
      </c>
      <c r="D157" s="184" t="s">
        <v>258</v>
      </c>
      <c r="E157" s="184">
        <v>5250</v>
      </c>
      <c r="F157" s="186">
        <v>1750</v>
      </c>
      <c r="G157" s="184">
        <v>3</v>
      </c>
      <c r="H157" s="184"/>
      <c r="I157" s="186">
        <f t="shared" si="13"/>
        <v>5250</v>
      </c>
      <c r="J157" s="209">
        <f t="shared" si="14"/>
        <v>0</v>
      </c>
      <c r="K157" s="184" t="s">
        <v>289</v>
      </c>
      <c r="L157" s="184"/>
    </row>
    <row r="158" spans="1:12" ht="27.5" customHeight="1">
      <c r="A158" s="184" t="s">
        <v>290</v>
      </c>
      <c r="B158" s="185">
        <v>45994</v>
      </c>
      <c r="C158" s="184" t="s">
        <v>153</v>
      </c>
      <c r="D158" s="184" t="s">
        <v>258</v>
      </c>
      <c r="E158" s="184">
        <v>3500</v>
      </c>
      <c r="F158" s="186">
        <v>3500</v>
      </c>
      <c r="G158" s="184">
        <v>1</v>
      </c>
      <c r="H158" s="184"/>
      <c r="I158" s="186">
        <f>(F158*G158)</f>
        <v>3500</v>
      </c>
      <c r="J158" s="209">
        <f>(E158-I158)</f>
        <v>0</v>
      </c>
      <c r="K158" s="184"/>
      <c r="L158" s="184"/>
    </row>
    <row r="159" spans="1:12" ht="27.5" customHeight="1">
      <c r="A159" s="184" t="s">
        <v>291</v>
      </c>
      <c r="B159" s="185">
        <v>45997</v>
      </c>
      <c r="C159" s="184" t="s">
        <v>153</v>
      </c>
      <c r="D159" s="184" t="s">
        <v>258</v>
      </c>
      <c r="E159" s="184">
        <v>6700</v>
      </c>
      <c r="F159" s="186">
        <v>3350</v>
      </c>
      <c r="G159" s="184">
        <v>2</v>
      </c>
      <c r="H159" s="184"/>
      <c r="I159" s="186">
        <f>(F159*G159)</f>
        <v>6700</v>
      </c>
      <c r="J159" s="209">
        <f>(E159-I159)</f>
        <v>0</v>
      </c>
      <c r="K159" s="184"/>
      <c r="L159" s="184"/>
    </row>
    <row r="160" spans="1:12" ht="27.5" customHeight="1">
      <c r="A160" s="184" t="s">
        <v>292</v>
      </c>
      <c r="B160" s="185">
        <v>46000</v>
      </c>
      <c r="C160" s="184" t="s">
        <v>153</v>
      </c>
      <c r="D160" s="184" t="s">
        <v>495</v>
      </c>
      <c r="E160" s="184">
        <v>15400</v>
      </c>
      <c r="F160" s="186">
        <v>7700</v>
      </c>
      <c r="G160" s="184">
        <v>2</v>
      </c>
      <c r="H160" s="184"/>
      <c r="I160" s="186">
        <f>(F160*G160)</f>
        <v>15400</v>
      </c>
      <c r="J160" s="209">
        <f>(E160-I160)</f>
        <v>0</v>
      </c>
      <c r="K160" s="184"/>
      <c r="L160" s="184"/>
    </row>
    <row r="161" spans="1:12" ht="27.5" customHeight="1">
      <c r="A161" s="184" t="s">
        <v>293</v>
      </c>
      <c r="B161" s="185">
        <v>46001</v>
      </c>
      <c r="C161" s="184" t="s">
        <v>153</v>
      </c>
      <c r="D161" s="184" t="s">
        <v>258</v>
      </c>
      <c r="E161" s="184">
        <v>12600</v>
      </c>
      <c r="F161" s="186">
        <v>4200</v>
      </c>
      <c r="G161" s="184">
        <v>3</v>
      </c>
      <c r="H161" s="184"/>
      <c r="I161" s="186">
        <f>(F161*G161)</f>
        <v>12600</v>
      </c>
      <c r="J161" s="209">
        <f>(E161-I161)</f>
        <v>0</v>
      </c>
      <c r="K161" s="184"/>
      <c r="L161" s="184"/>
    </row>
    <row r="162" spans="1:12" ht="27.5" customHeight="1">
      <c r="A162" s="184" t="s">
        <v>294</v>
      </c>
      <c r="B162" s="185">
        <v>46002</v>
      </c>
      <c r="C162" s="184" t="s">
        <v>153</v>
      </c>
      <c r="D162" s="184" t="s">
        <v>258</v>
      </c>
      <c r="E162" s="184">
        <v>6700</v>
      </c>
      <c r="F162" s="186">
        <v>3350</v>
      </c>
      <c r="G162" s="184">
        <v>2</v>
      </c>
      <c r="H162" s="184"/>
      <c r="I162" s="186">
        <f>(F162*G162)</f>
        <v>6700</v>
      </c>
      <c r="J162" s="209">
        <f>(E162-I162)</f>
        <v>0</v>
      </c>
      <c r="K162" s="184"/>
      <c r="L162" s="184"/>
    </row>
    <row r="163" spans="1:12" ht="40.5" customHeight="1">
      <c r="A163" s="187"/>
      <c r="B163" s="188"/>
      <c r="C163" s="189"/>
      <c r="D163" s="189"/>
      <c r="E163" s="190">
        <v>250000</v>
      </c>
      <c r="F163" s="191"/>
      <c r="G163" s="189"/>
      <c r="H163" s="189"/>
      <c r="I163" s="190">
        <f>SUM(I80,I119,I136)</f>
        <v>700850</v>
      </c>
      <c r="J163" s="190">
        <f>(E79-I79)</f>
        <v>-450850</v>
      </c>
      <c r="K163" s="189"/>
      <c r="L163" s="210"/>
    </row>
    <row r="164" spans="1:12">
      <c r="A164" s="192"/>
      <c r="B164" s="193"/>
      <c r="C164" s="194"/>
      <c r="D164" s="194"/>
      <c r="E164" s="194"/>
      <c r="F164" s="195"/>
      <c r="G164" s="194"/>
      <c r="H164" s="194"/>
      <c r="I164" s="195"/>
      <c r="J164" s="211"/>
      <c r="K164" s="194"/>
      <c r="L164" s="212"/>
    </row>
    <row r="165" spans="1:12">
      <c r="A165" s="192"/>
      <c r="B165" s="193"/>
      <c r="C165" s="194"/>
      <c r="D165" s="194"/>
      <c r="E165" s="194"/>
      <c r="F165" s="195"/>
      <c r="G165" s="194"/>
      <c r="H165" s="194"/>
      <c r="I165" s="195"/>
      <c r="J165" s="211"/>
      <c r="K165" s="194"/>
      <c r="L165" s="212"/>
    </row>
    <row r="166" spans="1:12" ht="65">
      <c r="A166" s="196" t="s">
        <v>2</v>
      </c>
      <c r="B166" s="197" t="s">
        <v>3</v>
      </c>
      <c r="C166" s="197" t="s">
        <v>4</v>
      </c>
      <c r="D166" s="197" t="s">
        <v>5</v>
      </c>
      <c r="E166" s="197" t="s">
        <v>6</v>
      </c>
      <c r="F166" s="197" t="s">
        <v>7</v>
      </c>
      <c r="G166" s="197" t="s">
        <v>8</v>
      </c>
      <c r="H166" s="197" t="s">
        <v>9</v>
      </c>
      <c r="I166" s="197" t="s">
        <v>10</v>
      </c>
      <c r="J166" s="197" t="s">
        <v>11</v>
      </c>
      <c r="K166" s="197" t="s">
        <v>12</v>
      </c>
      <c r="L166" s="213" t="s">
        <v>13</v>
      </c>
    </row>
    <row r="167" spans="1:12" s="6" customFormat="1" ht="33.5" customHeight="1">
      <c r="A167" s="198">
        <v>5</v>
      </c>
      <c r="B167" s="198" t="s">
        <v>14</v>
      </c>
      <c r="C167" s="198" t="s">
        <v>295</v>
      </c>
      <c r="D167" s="198" t="s">
        <v>14</v>
      </c>
      <c r="E167" s="199">
        <v>300000</v>
      </c>
      <c r="F167" s="198" t="s">
        <v>14</v>
      </c>
      <c r="G167" s="198" t="s">
        <v>14</v>
      </c>
      <c r="H167" s="198" t="s">
        <v>14</v>
      </c>
      <c r="I167" s="199">
        <f>(I168)</f>
        <v>264399.5</v>
      </c>
      <c r="J167" s="199">
        <f>(E167-I167)</f>
        <v>35600.5</v>
      </c>
      <c r="K167" s="198" t="s">
        <v>14</v>
      </c>
      <c r="L167" s="198" t="s">
        <v>14</v>
      </c>
    </row>
    <row r="168" spans="1:12" s="8" customFormat="1" ht="42">
      <c r="A168" s="200">
        <v>5.0999999999999996</v>
      </c>
      <c r="B168" s="201"/>
      <c r="C168" s="200" t="s">
        <v>296</v>
      </c>
      <c r="D168" s="200" t="s">
        <v>297</v>
      </c>
      <c r="E168" s="200">
        <v>8500</v>
      </c>
      <c r="F168" s="202">
        <v>3000</v>
      </c>
      <c r="G168" s="200" t="s">
        <v>298</v>
      </c>
      <c r="H168" s="200" t="s">
        <v>14</v>
      </c>
      <c r="I168" s="202">
        <f>SUM(I169:I206)</f>
        <v>264399.5</v>
      </c>
      <c r="J168" s="214">
        <f>(E168-I168)</f>
        <v>-255899.5</v>
      </c>
      <c r="K168" s="200" t="s">
        <v>299</v>
      </c>
      <c r="L168" s="200" t="s">
        <v>300</v>
      </c>
    </row>
    <row r="169" spans="1:12" ht="29.5" customHeight="1">
      <c r="A169" s="203" t="s">
        <v>301</v>
      </c>
      <c r="B169" s="204">
        <v>45966</v>
      </c>
      <c r="C169" s="203" t="s">
        <v>296</v>
      </c>
      <c r="D169" s="203" t="s">
        <v>297</v>
      </c>
      <c r="E169" s="203">
        <v>8500</v>
      </c>
      <c r="F169" s="205">
        <v>2000</v>
      </c>
      <c r="G169" s="203">
        <v>4</v>
      </c>
      <c r="H169" s="203"/>
      <c r="I169" s="205">
        <f>(F169*G169)</f>
        <v>8000</v>
      </c>
      <c r="J169" s="215">
        <f t="shared" ref="J169:J207" si="15">(E169-I169)</f>
        <v>500</v>
      </c>
      <c r="K169" s="203" t="s">
        <v>302</v>
      </c>
      <c r="L169" s="203"/>
    </row>
    <row r="170" spans="1:12" ht="28" customHeight="1">
      <c r="A170" s="203" t="s">
        <v>303</v>
      </c>
      <c r="B170" s="204">
        <v>45968</v>
      </c>
      <c r="C170" s="203" t="s">
        <v>296</v>
      </c>
      <c r="D170" s="203" t="s">
        <v>297</v>
      </c>
      <c r="E170" s="203">
        <v>8500</v>
      </c>
      <c r="F170" s="205">
        <v>2000</v>
      </c>
      <c r="G170" s="203">
        <v>2</v>
      </c>
      <c r="H170" s="203"/>
      <c r="I170" s="205">
        <f t="shared" ref="I170:I206" si="16">(F170*G170)</f>
        <v>4000</v>
      </c>
      <c r="J170" s="215">
        <f t="shared" si="15"/>
        <v>4500</v>
      </c>
      <c r="K170" s="203" t="s">
        <v>304</v>
      </c>
      <c r="L170" s="203"/>
    </row>
    <row r="171" spans="1:12" ht="28.5" customHeight="1">
      <c r="A171" s="203" t="s">
        <v>305</v>
      </c>
      <c r="B171" s="204">
        <v>45969</v>
      </c>
      <c r="C171" s="203" t="s">
        <v>296</v>
      </c>
      <c r="D171" s="203" t="s">
        <v>297</v>
      </c>
      <c r="E171" s="203">
        <v>8500</v>
      </c>
      <c r="F171" s="205">
        <v>2000</v>
      </c>
      <c r="G171" s="203">
        <v>2</v>
      </c>
      <c r="H171" s="203"/>
      <c r="I171" s="205">
        <f t="shared" si="16"/>
        <v>4000</v>
      </c>
      <c r="J171" s="215">
        <f t="shared" si="15"/>
        <v>4500</v>
      </c>
      <c r="K171" s="203" t="s">
        <v>306</v>
      </c>
      <c r="L171" s="203"/>
    </row>
    <row r="172" spans="1:12" ht="24.5" customHeight="1">
      <c r="A172" s="203" t="s">
        <v>307</v>
      </c>
      <c r="B172" s="204">
        <v>45971</v>
      </c>
      <c r="C172" s="203" t="s">
        <v>296</v>
      </c>
      <c r="D172" s="203" t="s">
        <v>297</v>
      </c>
      <c r="E172" s="203">
        <v>8500</v>
      </c>
      <c r="F172" s="205">
        <v>3800</v>
      </c>
      <c r="G172" s="203">
        <v>2</v>
      </c>
      <c r="H172" s="203"/>
      <c r="I172" s="205">
        <f t="shared" si="16"/>
        <v>7600</v>
      </c>
      <c r="J172" s="215">
        <f t="shared" si="15"/>
        <v>900</v>
      </c>
      <c r="K172" s="203" t="s">
        <v>308</v>
      </c>
      <c r="L172" s="203"/>
    </row>
    <row r="173" spans="1:12" ht="30.5" customHeight="1">
      <c r="A173" s="203" t="s">
        <v>309</v>
      </c>
      <c r="B173" s="204">
        <v>45972</v>
      </c>
      <c r="C173" s="203" t="s">
        <v>296</v>
      </c>
      <c r="D173" s="203" t="s">
        <v>297</v>
      </c>
      <c r="E173" s="203">
        <v>8500</v>
      </c>
      <c r="F173" s="205">
        <v>2500</v>
      </c>
      <c r="G173" s="203">
        <v>4</v>
      </c>
      <c r="H173" s="203"/>
      <c r="I173" s="205">
        <f t="shared" si="16"/>
        <v>10000</v>
      </c>
      <c r="J173" s="216">
        <f t="shared" si="15"/>
        <v>-1500</v>
      </c>
      <c r="K173" s="203" t="s">
        <v>310</v>
      </c>
      <c r="L173" s="203"/>
    </row>
    <row r="174" spans="1:12" ht="30.5" customHeight="1">
      <c r="A174" s="203" t="s">
        <v>311</v>
      </c>
      <c r="B174" s="204">
        <v>45973</v>
      </c>
      <c r="C174" s="203" t="s">
        <v>296</v>
      </c>
      <c r="D174" s="203" t="s">
        <v>297</v>
      </c>
      <c r="E174" s="203">
        <v>8500</v>
      </c>
      <c r="F174" s="205">
        <v>2700</v>
      </c>
      <c r="G174" s="203">
        <v>4</v>
      </c>
      <c r="H174" s="203"/>
      <c r="I174" s="205">
        <f t="shared" si="16"/>
        <v>10800</v>
      </c>
      <c r="J174" s="216">
        <f t="shared" si="15"/>
        <v>-2300</v>
      </c>
      <c r="K174" s="203" t="s">
        <v>312</v>
      </c>
      <c r="L174" s="203"/>
    </row>
    <row r="175" spans="1:12" ht="30.5" customHeight="1">
      <c r="A175" s="203" t="s">
        <v>313</v>
      </c>
      <c r="B175" s="204">
        <v>45974</v>
      </c>
      <c r="C175" s="203" t="s">
        <v>296</v>
      </c>
      <c r="D175" s="203" t="s">
        <v>297</v>
      </c>
      <c r="E175" s="203">
        <v>8500</v>
      </c>
      <c r="F175" s="205">
        <v>2500</v>
      </c>
      <c r="G175" s="203">
        <v>4</v>
      </c>
      <c r="H175" s="203"/>
      <c r="I175" s="205">
        <f t="shared" si="16"/>
        <v>10000</v>
      </c>
      <c r="J175" s="216">
        <f t="shared" si="15"/>
        <v>-1500</v>
      </c>
      <c r="K175" s="203" t="s">
        <v>314</v>
      </c>
      <c r="L175" s="203"/>
    </row>
    <row r="176" spans="1:12" ht="30.5" customHeight="1">
      <c r="A176" s="203" t="s">
        <v>315</v>
      </c>
      <c r="B176" s="204">
        <v>45975</v>
      </c>
      <c r="C176" s="203" t="s">
        <v>296</v>
      </c>
      <c r="D176" s="203" t="s">
        <v>297</v>
      </c>
      <c r="E176" s="203">
        <v>8500</v>
      </c>
      <c r="F176" s="205">
        <v>3875</v>
      </c>
      <c r="G176" s="203">
        <v>4</v>
      </c>
      <c r="H176" s="203"/>
      <c r="I176" s="205">
        <f t="shared" si="16"/>
        <v>15500</v>
      </c>
      <c r="J176" s="216">
        <f t="shared" si="15"/>
        <v>-7000</v>
      </c>
      <c r="K176" s="203" t="s">
        <v>316</v>
      </c>
      <c r="L176" s="203"/>
    </row>
    <row r="177" spans="1:12" ht="30.5" customHeight="1">
      <c r="A177" s="203" t="s">
        <v>317</v>
      </c>
      <c r="B177" s="204">
        <v>45976</v>
      </c>
      <c r="C177" s="203" t="s">
        <v>296</v>
      </c>
      <c r="D177" s="203" t="s">
        <v>297</v>
      </c>
      <c r="E177" s="203">
        <v>8500</v>
      </c>
      <c r="F177" s="205">
        <v>2040</v>
      </c>
      <c r="G177" s="203">
        <v>5</v>
      </c>
      <c r="H177" s="203"/>
      <c r="I177" s="205">
        <f t="shared" si="16"/>
        <v>10200</v>
      </c>
      <c r="J177" s="216">
        <f t="shared" si="15"/>
        <v>-1700</v>
      </c>
      <c r="K177" s="203" t="s">
        <v>318</v>
      </c>
      <c r="L177" s="203"/>
    </row>
    <row r="178" spans="1:12" ht="30.5" customHeight="1">
      <c r="A178" s="203" t="s">
        <v>319</v>
      </c>
      <c r="B178" s="204">
        <v>45977</v>
      </c>
      <c r="C178" s="203" t="s">
        <v>296</v>
      </c>
      <c r="D178" s="203" t="s">
        <v>297</v>
      </c>
      <c r="E178" s="203">
        <v>8500</v>
      </c>
      <c r="F178" s="205">
        <v>3500</v>
      </c>
      <c r="G178" s="203">
        <v>1</v>
      </c>
      <c r="H178" s="203"/>
      <c r="I178" s="205">
        <f t="shared" si="16"/>
        <v>3500</v>
      </c>
      <c r="J178" s="216"/>
      <c r="K178" s="203"/>
      <c r="L178" s="203"/>
    </row>
    <row r="179" spans="1:12" ht="30.5" customHeight="1">
      <c r="A179" s="203" t="s">
        <v>320</v>
      </c>
      <c r="B179" s="204">
        <v>45978</v>
      </c>
      <c r="C179" s="203" t="s">
        <v>296</v>
      </c>
      <c r="D179" s="203" t="s">
        <v>297</v>
      </c>
      <c r="E179" s="203">
        <v>8500</v>
      </c>
      <c r="F179" s="205">
        <v>2966.5</v>
      </c>
      <c r="G179" s="203">
        <v>3</v>
      </c>
      <c r="H179" s="203"/>
      <c r="I179" s="205">
        <f t="shared" si="16"/>
        <v>8899.5</v>
      </c>
      <c r="J179" s="216">
        <f t="shared" si="15"/>
        <v>-399.5</v>
      </c>
      <c r="K179" s="203" t="s">
        <v>321</v>
      </c>
      <c r="L179" s="203"/>
    </row>
    <row r="180" spans="1:12" ht="30.5" customHeight="1">
      <c r="A180" s="203" t="s">
        <v>322</v>
      </c>
      <c r="B180" s="204">
        <v>45979</v>
      </c>
      <c r="C180" s="203" t="s">
        <v>296</v>
      </c>
      <c r="D180" s="203" t="s">
        <v>297</v>
      </c>
      <c r="E180" s="203">
        <v>8500</v>
      </c>
      <c r="F180" s="205">
        <v>3500</v>
      </c>
      <c r="G180" s="203">
        <v>3</v>
      </c>
      <c r="H180" s="203"/>
      <c r="I180" s="205">
        <f t="shared" si="16"/>
        <v>10500</v>
      </c>
      <c r="J180" s="216">
        <f t="shared" si="15"/>
        <v>-2000</v>
      </c>
      <c r="K180" s="203" t="s">
        <v>323</v>
      </c>
      <c r="L180" s="203"/>
    </row>
    <row r="181" spans="1:12" ht="30.5" customHeight="1">
      <c r="A181" s="203" t="s">
        <v>324</v>
      </c>
      <c r="B181" s="204">
        <v>45980</v>
      </c>
      <c r="C181" s="203" t="s">
        <v>296</v>
      </c>
      <c r="D181" s="203" t="s">
        <v>297</v>
      </c>
      <c r="E181" s="203">
        <v>8500</v>
      </c>
      <c r="F181" s="205">
        <v>3000</v>
      </c>
      <c r="G181" s="203">
        <v>3</v>
      </c>
      <c r="H181" s="203"/>
      <c r="I181" s="205">
        <f t="shared" si="16"/>
        <v>9000</v>
      </c>
      <c r="J181" s="216">
        <f t="shared" si="15"/>
        <v>-500</v>
      </c>
      <c r="K181" s="203" t="s">
        <v>325</v>
      </c>
      <c r="L181" s="203"/>
    </row>
    <row r="182" spans="1:12" ht="30.5" customHeight="1">
      <c r="A182" s="203" t="s">
        <v>326</v>
      </c>
      <c r="B182" s="204">
        <v>45981</v>
      </c>
      <c r="C182" s="203" t="s">
        <v>296</v>
      </c>
      <c r="D182" s="203" t="s">
        <v>297</v>
      </c>
      <c r="E182" s="203">
        <v>8500</v>
      </c>
      <c r="F182" s="205">
        <v>3700</v>
      </c>
      <c r="G182" s="203">
        <v>2</v>
      </c>
      <c r="H182" s="203"/>
      <c r="I182" s="205">
        <f t="shared" si="16"/>
        <v>7400</v>
      </c>
      <c r="J182" s="216">
        <f t="shared" si="15"/>
        <v>1100</v>
      </c>
      <c r="K182" s="203" t="s">
        <v>327</v>
      </c>
      <c r="L182" s="203"/>
    </row>
    <row r="183" spans="1:12" ht="30.5" customHeight="1">
      <c r="A183" s="203" t="s">
        <v>328</v>
      </c>
      <c r="B183" s="204">
        <v>45982</v>
      </c>
      <c r="C183" s="203" t="s">
        <v>296</v>
      </c>
      <c r="D183" s="203" t="s">
        <v>297</v>
      </c>
      <c r="E183" s="203">
        <v>8500</v>
      </c>
      <c r="F183" s="205">
        <v>3700</v>
      </c>
      <c r="G183" s="203">
        <v>2</v>
      </c>
      <c r="H183" s="203"/>
      <c r="I183" s="205">
        <f t="shared" si="16"/>
        <v>7400</v>
      </c>
      <c r="J183" s="216">
        <f t="shared" si="15"/>
        <v>1100</v>
      </c>
      <c r="K183" s="203" t="s">
        <v>329</v>
      </c>
      <c r="L183" s="203"/>
    </row>
    <row r="184" spans="1:12" ht="30.5" customHeight="1">
      <c r="A184" s="203" t="s">
        <v>330</v>
      </c>
      <c r="B184" s="204">
        <v>45983</v>
      </c>
      <c r="C184" s="203" t="s">
        <v>296</v>
      </c>
      <c r="D184" s="203" t="s">
        <v>297</v>
      </c>
      <c r="E184" s="203">
        <v>8500</v>
      </c>
      <c r="F184" s="205">
        <v>3700</v>
      </c>
      <c r="G184" s="203">
        <v>2</v>
      </c>
      <c r="H184" s="203"/>
      <c r="I184" s="205">
        <f t="shared" si="16"/>
        <v>7400</v>
      </c>
      <c r="J184" s="216">
        <f t="shared" si="15"/>
        <v>1100</v>
      </c>
      <c r="K184" s="203" t="s">
        <v>331</v>
      </c>
      <c r="L184" s="203"/>
    </row>
    <row r="185" spans="1:12" ht="30.5" customHeight="1">
      <c r="A185" s="203" t="s">
        <v>332</v>
      </c>
      <c r="B185" s="204">
        <v>45984</v>
      </c>
      <c r="C185" s="203" t="s">
        <v>296</v>
      </c>
      <c r="D185" s="203" t="s">
        <v>297</v>
      </c>
      <c r="E185" s="203">
        <v>8500</v>
      </c>
      <c r="F185" s="205">
        <v>3700</v>
      </c>
      <c r="G185" s="203">
        <v>2</v>
      </c>
      <c r="H185" s="203"/>
      <c r="I185" s="205">
        <f t="shared" si="16"/>
        <v>7400</v>
      </c>
      <c r="J185" s="216">
        <f t="shared" si="15"/>
        <v>1100</v>
      </c>
      <c r="K185" s="203" t="s">
        <v>333</v>
      </c>
      <c r="L185" s="203"/>
    </row>
    <row r="186" spans="1:12" ht="30.5" customHeight="1">
      <c r="A186" s="203" t="s">
        <v>334</v>
      </c>
      <c r="B186" s="204">
        <v>45985</v>
      </c>
      <c r="C186" s="203" t="s">
        <v>296</v>
      </c>
      <c r="D186" s="203" t="s">
        <v>297</v>
      </c>
      <c r="E186" s="203">
        <v>8500</v>
      </c>
      <c r="F186" s="205">
        <v>3500</v>
      </c>
      <c r="G186" s="203">
        <v>2</v>
      </c>
      <c r="H186" s="203"/>
      <c r="I186" s="205">
        <f t="shared" si="16"/>
        <v>7000</v>
      </c>
      <c r="J186" s="216">
        <f t="shared" si="15"/>
        <v>1500</v>
      </c>
      <c r="K186" s="203" t="s">
        <v>335</v>
      </c>
      <c r="L186" s="203"/>
    </row>
    <row r="187" spans="1:12" ht="30.5" customHeight="1">
      <c r="A187" s="203" t="s">
        <v>336</v>
      </c>
      <c r="B187" s="204">
        <v>45986</v>
      </c>
      <c r="C187" s="203" t="s">
        <v>296</v>
      </c>
      <c r="D187" s="203" t="s">
        <v>297</v>
      </c>
      <c r="E187" s="203">
        <v>8500</v>
      </c>
      <c r="F187" s="205">
        <v>3500</v>
      </c>
      <c r="G187" s="203">
        <v>2</v>
      </c>
      <c r="H187" s="203"/>
      <c r="I187" s="205">
        <f t="shared" si="16"/>
        <v>7000</v>
      </c>
      <c r="J187" s="216">
        <f t="shared" si="15"/>
        <v>1500</v>
      </c>
      <c r="K187" s="203" t="s">
        <v>337</v>
      </c>
      <c r="L187" s="203"/>
    </row>
    <row r="188" spans="1:12" ht="30.5" customHeight="1">
      <c r="A188" s="203" t="s">
        <v>338</v>
      </c>
      <c r="B188" s="204">
        <v>45987</v>
      </c>
      <c r="C188" s="203" t="s">
        <v>296</v>
      </c>
      <c r="D188" s="203" t="s">
        <v>297</v>
      </c>
      <c r="E188" s="203">
        <v>8500</v>
      </c>
      <c r="F188" s="205">
        <v>3500</v>
      </c>
      <c r="G188" s="203">
        <v>2</v>
      </c>
      <c r="H188" s="203"/>
      <c r="I188" s="205">
        <f t="shared" si="16"/>
        <v>7000</v>
      </c>
      <c r="J188" s="216">
        <f t="shared" si="15"/>
        <v>1500</v>
      </c>
      <c r="K188" s="203" t="s">
        <v>339</v>
      </c>
      <c r="L188" s="203"/>
    </row>
    <row r="189" spans="1:12" ht="30.5" customHeight="1">
      <c r="A189" s="203" t="s">
        <v>340</v>
      </c>
      <c r="B189" s="204">
        <v>45988</v>
      </c>
      <c r="C189" s="203" t="s">
        <v>296</v>
      </c>
      <c r="D189" s="203" t="s">
        <v>297</v>
      </c>
      <c r="E189" s="203">
        <v>8500</v>
      </c>
      <c r="F189" s="205">
        <v>4000</v>
      </c>
      <c r="G189" s="203">
        <v>2</v>
      </c>
      <c r="H189" s="203"/>
      <c r="I189" s="205">
        <f t="shared" si="16"/>
        <v>8000</v>
      </c>
      <c r="J189" s="216">
        <f t="shared" si="15"/>
        <v>500</v>
      </c>
      <c r="K189" s="203" t="s">
        <v>341</v>
      </c>
      <c r="L189" s="203"/>
    </row>
    <row r="190" spans="1:12" ht="30.5" customHeight="1">
      <c r="A190" s="203" t="s">
        <v>342</v>
      </c>
      <c r="B190" s="204">
        <v>45989</v>
      </c>
      <c r="C190" s="203" t="s">
        <v>296</v>
      </c>
      <c r="D190" s="203" t="s">
        <v>343</v>
      </c>
      <c r="E190" s="203">
        <v>8500</v>
      </c>
      <c r="F190" s="205">
        <v>2680</v>
      </c>
      <c r="G190" s="203">
        <v>5</v>
      </c>
      <c r="H190" s="203"/>
      <c r="I190" s="205">
        <f t="shared" si="16"/>
        <v>13400</v>
      </c>
      <c r="J190" s="216">
        <f t="shared" si="15"/>
        <v>-4900</v>
      </c>
      <c r="K190" s="203" t="s">
        <v>344</v>
      </c>
      <c r="L190" s="203"/>
    </row>
    <row r="191" spans="1:12" ht="30.5" customHeight="1">
      <c r="A191" s="203" t="s">
        <v>345</v>
      </c>
      <c r="B191" s="204">
        <v>45990</v>
      </c>
      <c r="C191" s="203" t="s">
        <v>296</v>
      </c>
      <c r="D191" s="203" t="s">
        <v>297</v>
      </c>
      <c r="E191" s="203">
        <v>8500</v>
      </c>
      <c r="F191" s="205">
        <v>2800</v>
      </c>
      <c r="G191" s="203">
        <v>3</v>
      </c>
      <c r="H191" s="203"/>
      <c r="I191" s="205">
        <f t="shared" si="16"/>
        <v>8400</v>
      </c>
      <c r="J191" s="216">
        <f t="shared" si="15"/>
        <v>100</v>
      </c>
      <c r="K191" s="203" t="s">
        <v>346</v>
      </c>
      <c r="L191" s="203"/>
    </row>
    <row r="192" spans="1:12" ht="30.5" customHeight="1">
      <c r="A192" s="203" t="s">
        <v>347</v>
      </c>
      <c r="B192" s="204">
        <v>45991</v>
      </c>
      <c r="C192" s="203" t="s">
        <v>296</v>
      </c>
      <c r="D192" s="203" t="s">
        <v>297</v>
      </c>
      <c r="E192" s="203">
        <v>8500</v>
      </c>
      <c r="F192" s="205">
        <v>3000</v>
      </c>
      <c r="G192" s="203">
        <v>1</v>
      </c>
      <c r="H192" s="203"/>
      <c r="I192" s="205">
        <f t="shared" si="16"/>
        <v>3000</v>
      </c>
      <c r="J192" s="216">
        <f t="shared" si="15"/>
        <v>5500</v>
      </c>
      <c r="K192" s="203" t="s">
        <v>348</v>
      </c>
      <c r="L192" s="203"/>
    </row>
    <row r="193" spans="1:12" ht="30.5" customHeight="1">
      <c r="A193" s="203" t="s">
        <v>349</v>
      </c>
      <c r="B193" s="204">
        <v>45992</v>
      </c>
      <c r="C193" s="203" t="s">
        <v>296</v>
      </c>
      <c r="D193" s="203" t="s">
        <v>297</v>
      </c>
      <c r="E193" s="203">
        <v>8500</v>
      </c>
      <c r="F193" s="205">
        <v>3500</v>
      </c>
      <c r="G193" s="203">
        <v>2</v>
      </c>
      <c r="H193" s="203"/>
      <c r="I193" s="205">
        <f t="shared" si="16"/>
        <v>7000</v>
      </c>
      <c r="J193" s="216">
        <f t="shared" si="15"/>
        <v>1500</v>
      </c>
      <c r="K193" s="203" t="s">
        <v>350</v>
      </c>
      <c r="L193" s="203"/>
    </row>
    <row r="194" spans="1:12" ht="30.5" customHeight="1">
      <c r="A194" s="203" t="s">
        <v>351</v>
      </c>
      <c r="B194" s="204">
        <v>45993</v>
      </c>
      <c r="C194" s="203" t="s">
        <v>296</v>
      </c>
      <c r="D194" s="203" t="s">
        <v>297</v>
      </c>
      <c r="E194" s="203">
        <v>8500</v>
      </c>
      <c r="F194" s="205">
        <v>3500</v>
      </c>
      <c r="G194" s="203">
        <v>2</v>
      </c>
      <c r="H194" s="203"/>
      <c r="I194" s="205">
        <f t="shared" si="16"/>
        <v>7000</v>
      </c>
      <c r="J194" s="216">
        <f t="shared" si="15"/>
        <v>1500</v>
      </c>
      <c r="K194" s="203" t="s">
        <v>352</v>
      </c>
      <c r="L194" s="203"/>
    </row>
    <row r="195" spans="1:12" ht="30.5" customHeight="1">
      <c r="A195" s="203" t="s">
        <v>353</v>
      </c>
      <c r="B195" s="204">
        <v>45994</v>
      </c>
      <c r="C195" s="203" t="s">
        <v>296</v>
      </c>
      <c r="D195" s="203" t="s">
        <v>297</v>
      </c>
      <c r="E195" s="203">
        <v>8500</v>
      </c>
      <c r="F195" s="205">
        <v>4000</v>
      </c>
      <c r="G195" s="203">
        <v>1</v>
      </c>
      <c r="H195" s="203"/>
      <c r="I195" s="205">
        <f t="shared" si="16"/>
        <v>4000</v>
      </c>
      <c r="J195" s="216">
        <f t="shared" si="15"/>
        <v>4500</v>
      </c>
      <c r="K195" s="203" t="s">
        <v>354</v>
      </c>
      <c r="L195" s="203"/>
    </row>
    <row r="196" spans="1:12" ht="30.5" customHeight="1">
      <c r="A196" s="203" t="s">
        <v>355</v>
      </c>
      <c r="B196" s="204">
        <v>45995</v>
      </c>
      <c r="C196" s="203" t="s">
        <v>296</v>
      </c>
      <c r="D196" s="203" t="s">
        <v>297</v>
      </c>
      <c r="E196" s="203">
        <v>8500</v>
      </c>
      <c r="F196" s="205">
        <v>3000</v>
      </c>
      <c r="G196" s="203">
        <v>3</v>
      </c>
      <c r="H196" s="203"/>
      <c r="I196" s="205">
        <f t="shared" si="16"/>
        <v>9000</v>
      </c>
      <c r="J196" s="216">
        <f t="shared" si="15"/>
        <v>-500</v>
      </c>
      <c r="K196" s="203" t="s">
        <v>356</v>
      </c>
      <c r="L196" s="203"/>
    </row>
    <row r="197" spans="1:12" ht="30.5" customHeight="1">
      <c r="A197" s="203" t="s">
        <v>357</v>
      </c>
      <c r="B197" s="204">
        <v>45996</v>
      </c>
      <c r="C197" s="203" t="s">
        <v>296</v>
      </c>
      <c r="D197" s="203" t="s">
        <v>297</v>
      </c>
      <c r="E197" s="203">
        <v>8500</v>
      </c>
      <c r="F197" s="205">
        <v>3500</v>
      </c>
      <c r="G197" s="203">
        <v>1</v>
      </c>
      <c r="H197" s="203"/>
      <c r="I197" s="205">
        <f t="shared" si="16"/>
        <v>3500</v>
      </c>
      <c r="J197" s="216">
        <f t="shared" si="15"/>
        <v>5000</v>
      </c>
      <c r="K197" s="203" t="s">
        <v>358</v>
      </c>
      <c r="L197" s="203"/>
    </row>
    <row r="198" spans="1:12" ht="30.5" customHeight="1">
      <c r="A198" s="203" t="s">
        <v>359</v>
      </c>
      <c r="B198" s="204">
        <v>45997</v>
      </c>
      <c r="C198" s="203" t="s">
        <v>296</v>
      </c>
      <c r="D198" s="203" t="s">
        <v>297</v>
      </c>
      <c r="E198" s="203">
        <v>8500</v>
      </c>
      <c r="F198" s="205">
        <v>4500</v>
      </c>
      <c r="G198" s="203">
        <v>1</v>
      </c>
      <c r="H198" s="203"/>
      <c r="I198" s="205">
        <f t="shared" si="16"/>
        <v>4500</v>
      </c>
      <c r="J198" s="216">
        <f t="shared" si="15"/>
        <v>4000</v>
      </c>
      <c r="K198" s="203" t="s">
        <v>360</v>
      </c>
      <c r="L198" s="203"/>
    </row>
    <row r="199" spans="1:12" ht="30.5" customHeight="1">
      <c r="A199" s="203" t="s">
        <v>496</v>
      </c>
      <c r="B199" s="204">
        <v>45999</v>
      </c>
      <c r="C199" s="203" t="s">
        <v>296</v>
      </c>
      <c r="D199" s="203" t="s">
        <v>297</v>
      </c>
      <c r="E199" s="203">
        <v>8500</v>
      </c>
      <c r="F199" s="205">
        <v>2000</v>
      </c>
      <c r="G199" s="203">
        <v>3</v>
      </c>
      <c r="H199" s="203"/>
      <c r="I199" s="205">
        <f t="shared" si="16"/>
        <v>6000</v>
      </c>
      <c r="J199" s="216">
        <f t="shared" si="15"/>
        <v>2500</v>
      </c>
      <c r="K199" s="203"/>
      <c r="L199" s="203"/>
    </row>
    <row r="200" spans="1:12" ht="30.5" customHeight="1">
      <c r="A200" s="203" t="s">
        <v>497</v>
      </c>
      <c r="B200" s="204">
        <v>46000</v>
      </c>
      <c r="C200" s="203" t="s">
        <v>296</v>
      </c>
      <c r="D200" s="203" t="s">
        <v>297</v>
      </c>
      <c r="E200" s="203">
        <v>8500</v>
      </c>
      <c r="F200" s="205">
        <v>2100</v>
      </c>
      <c r="G200" s="203">
        <v>3</v>
      </c>
      <c r="H200" s="203"/>
      <c r="I200" s="205">
        <f t="shared" si="16"/>
        <v>6300</v>
      </c>
      <c r="J200" s="216">
        <f t="shared" si="15"/>
        <v>2200</v>
      </c>
      <c r="K200" s="203"/>
      <c r="L200" s="203"/>
    </row>
    <row r="201" spans="1:12" ht="30.5" customHeight="1">
      <c r="A201" s="203" t="s">
        <v>498</v>
      </c>
      <c r="B201" s="204">
        <v>46001</v>
      </c>
      <c r="C201" s="203" t="s">
        <v>296</v>
      </c>
      <c r="D201" s="203" t="s">
        <v>297</v>
      </c>
      <c r="E201" s="203">
        <v>8500</v>
      </c>
      <c r="F201" s="205">
        <v>2100</v>
      </c>
      <c r="G201" s="203">
        <v>3</v>
      </c>
      <c r="H201" s="203"/>
      <c r="I201" s="205">
        <f t="shared" si="16"/>
        <v>6300</v>
      </c>
      <c r="J201" s="216">
        <f t="shared" si="15"/>
        <v>2200</v>
      </c>
      <c r="K201" s="203"/>
      <c r="L201" s="203"/>
    </row>
    <row r="202" spans="1:12" ht="30.5" customHeight="1">
      <c r="A202" s="203" t="s">
        <v>499</v>
      </c>
      <c r="B202" s="204">
        <v>46002</v>
      </c>
      <c r="C202" s="203" t="s">
        <v>296</v>
      </c>
      <c r="D202" s="203" t="s">
        <v>297</v>
      </c>
      <c r="E202" s="203">
        <v>8500</v>
      </c>
      <c r="F202" s="205">
        <v>2000</v>
      </c>
      <c r="G202" s="203">
        <v>2</v>
      </c>
      <c r="H202" s="203"/>
      <c r="I202" s="205">
        <f t="shared" si="16"/>
        <v>4000</v>
      </c>
      <c r="J202" s="216">
        <f t="shared" si="15"/>
        <v>4500</v>
      </c>
      <c r="K202" s="203"/>
      <c r="L202" s="203"/>
    </row>
    <row r="203" spans="1:12" ht="30.5" customHeight="1">
      <c r="A203" s="203" t="s">
        <v>500</v>
      </c>
      <c r="B203" s="204">
        <v>46003</v>
      </c>
      <c r="C203" s="203" t="s">
        <v>296</v>
      </c>
      <c r="D203" s="203" t="s">
        <v>297</v>
      </c>
      <c r="E203" s="203">
        <v>8500</v>
      </c>
      <c r="F203" s="205">
        <v>2800</v>
      </c>
      <c r="G203" s="203">
        <v>3</v>
      </c>
      <c r="H203" s="203"/>
      <c r="I203" s="205">
        <f t="shared" si="16"/>
        <v>8400</v>
      </c>
      <c r="J203" s="216">
        <f t="shared" si="15"/>
        <v>100</v>
      </c>
      <c r="K203" s="203"/>
      <c r="L203" s="203"/>
    </row>
    <row r="204" spans="1:12" ht="30.5" customHeight="1">
      <c r="A204" s="203" t="s">
        <v>501</v>
      </c>
      <c r="B204" s="204">
        <v>46004</v>
      </c>
      <c r="C204" s="203" t="s">
        <v>296</v>
      </c>
      <c r="D204" s="203" t="s">
        <v>297</v>
      </c>
      <c r="E204" s="203">
        <v>8500</v>
      </c>
      <c r="F204" s="205">
        <v>3000</v>
      </c>
      <c r="G204" s="203">
        <v>1</v>
      </c>
      <c r="H204" s="203"/>
      <c r="I204" s="205">
        <f t="shared" si="16"/>
        <v>3000</v>
      </c>
      <c r="J204" s="216">
        <f t="shared" si="15"/>
        <v>5500</v>
      </c>
      <c r="K204" s="203"/>
      <c r="L204" s="203"/>
    </row>
    <row r="205" spans="1:12" ht="30.5" customHeight="1">
      <c r="A205" s="203" t="s">
        <v>502</v>
      </c>
      <c r="B205" s="204"/>
      <c r="C205" s="203" t="s">
        <v>296</v>
      </c>
      <c r="D205" s="203" t="s">
        <v>297</v>
      </c>
      <c r="E205" s="203">
        <v>8500</v>
      </c>
      <c r="F205" s="205"/>
      <c r="G205" s="203"/>
      <c r="H205" s="203"/>
      <c r="I205" s="205">
        <f t="shared" si="16"/>
        <v>0</v>
      </c>
      <c r="J205" s="216">
        <f t="shared" si="15"/>
        <v>8500</v>
      </c>
      <c r="K205" s="203"/>
      <c r="L205" s="203"/>
    </row>
    <row r="206" spans="1:12" ht="30.5" customHeight="1">
      <c r="A206" s="203" t="s">
        <v>503</v>
      </c>
      <c r="B206" s="204"/>
      <c r="C206" s="203"/>
      <c r="D206" s="203" t="s">
        <v>297</v>
      </c>
      <c r="E206" s="203">
        <v>8500</v>
      </c>
      <c r="F206" s="205"/>
      <c r="G206" s="203"/>
      <c r="H206" s="203"/>
      <c r="I206" s="205">
        <f t="shared" si="16"/>
        <v>0</v>
      </c>
      <c r="J206" s="216">
        <f t="shared" si="15"/>
        <v>8500</v>
      </c>
      <c r="K206" s="203"/>
      <c r="L206" s="203"/>
    </row>
    <row r="207" spans="1:12" ht="30.5" customHeight="1">
      <c r="A207" s="206"/>
      <c r="B207" s="207"/>
      <c r="C207" s="206"/>
      <c r="D207" s="206"/>
      <c r="E207" s="208">
        <v>300000</v>
      </c>
      <c r="F207" s="208"/>
      <c r="G207" s="206"/>
      <c r="H207" s="206"/>
      <c r="I207" s="208">
        <f>SUM(I169:I206)</f>
        <v>264399.5</v>
      </c>
      <c r="J207" s="208">
        <f t="shared" si="15"/>
        <v>35600.5</v>
      </c>
      <c r="K207" s="206"/>
      <c r="L207" s="206"/>
    </row>
    <row r="208" spans="1:12" s="9" customFormat="1" ht="23" customHeight="1">
      <c r="A208" s="217"/>
      <c r="B208" s="218"/>
      <c r="C208" s="217"/>
      <c r="D208" s="217"/>
      <c r="E208" s="217"/>
      <c r="F208" s="219"/>
      <c r="G208" s="217"/>
      <c r="H208" s="217"/>
      <c r="I208" s="219"/>
      <c r="J208" s="271"/>
      <c r="K208" s="217"/>
      <c r="L208" s="217"/>
    </row>
    <row r="209" spans="1:637" s="10" customFormat="1" ht="70" customHeight="1">
      <c r="A209" s="196" t="s">
        <v>2</v>
      </c>
      <c r="B209" s="197" t="s">
        <v>3</v>
      </c>
      <c r="C209" s="197" t="s">
        <v>4</v>
      </c>
      <c r="D209" s="197" t="s">
        <v>5</v>
      </c>
      <c r="E209" s="197" t="s">
        <v>6</v>
      </c>
      <c r="F209" s="197" t="s">
        <v>7</v>
      </c>
      <c r="G209" s="197" t="s">
        <v>8</v>
      </c>
      <c r="H209" s="197" t="s">
        <v>9</v>
      </c>
      <c r="I209" s="197" t="s">
        <v>10</v>
      </c>
      <c r="J209" s="197" t="s">
        <v>11</v>
      </c>
      <c r="K209" s="197" t="s">
        <v>12</v>
      </c>
      <c r="L209" s="213" t="s">
        <v>13</v>
      </c>
      <c r="M209" s="272"/>
      <c r="N209" s="272"/>
      <c r="O209" s="272"/>
      <c r="P209" s="272"/>
      <c r="Q209" s="272"/>
      <c r="R209" s="272"/>
      <c r="S209" s="272"/>
      <c r="T209" s="272"/>
      <c r="U209" s="272"/>
      <c r="V209" s="272"/>
      <c r="W209" s="272"/>
      <c r="X209" s="272"/>
      <c r="Y209" s="272"/>
      <c r="Z209" s="272"/>
      <c r="AA209" s="272"/>
      <c r="AB209" s="272"/>
      <c r="AC209" s="272"/>
      <c r="AD209" s="272"/>
      <c r="AE209" s="272"/>
      <c r="AF209" s="272"/>
      <c r="AG209" s="272"/>
      <c r="AH209" s="272"/>
      <c r="AI209" s="272"/>
      <c r="AJ209" s="272"/>
      <c r="AK209" s="272"/>
      <c r="AL209" s="272"/>
      <c r="AM209" s="272"/>
      <c r="AN209" s="272"/>
      <c r="AO209" s="272"/>
      <c r="AP209" s="272"/>
      <c r="AQ209" s="272"/>
      <c r="AR209" s="272"/>
      <c r="AS209" s="272"/>
      <c r="AT209" s="272"/>
      <c r="AU209" s="272"/>
      <c r="AV209" s="272"/>
      <c r="AW209" s="272"/>
      <c r="AX209" s="272"/>
      <c r="AY209" s="272"/>
      <c r="AZ209" s="272"/>
      <c r="BA209" s="272"/>
      <c r="BB209" s="272"/>
      <c r="BC209" s="272"/>
      <c r="BD209" s="272"/>
      <c r="BE209" s="272"/>
      <c r="BF209" s="272"/>
      <c r="BG209" s="272"/>
      <c r="BH209" s="272"/>
      <c r="BI209" s="272"/>
      <c r="BJ209" s="272"/>
      <c r="BK209" s="272"/>
      <c r="BL209" s="272"/>
      <c r="BM209" s="272"/>
      <c r="BN209" s="272"/>
      <c r="BO209" s="272"/>
      <c r="BP209" s="272"/>
      <c r="BQ209" s="272"/>
      <c r="BR209" s="272"/>
      <c r="BS209" s="272"/>
      <c r="BT209" s="272"/>
      <c r="BU209" s="272"/>
      <c r="BV209" s="272"/>
      <c r="BW209" s="272"/>
      <c r="BX209" s="272"/>
      <c r="BY209" s="272"/>
      <c r="BZ209" s="272"/>
      <c r="CA209" s="272"/>
      <c r="CB209" s="272"/>
      <c r="CC209" s="272"/>
      <c r="CD209" s="272"/>
      <c r="CE209" s="272"/>
      <c r="CF209" s="272"/>
      <c r="CG209" s="272"/>
      <c r="CH209" s="272"/>
      <c r="CI209" s="272"/>
      <c r="CJ209" s="272"/>
      <c r="CK209" s="272"/>
      <c r="CL209" s="272"/>
      <c r="CM209" s="272"/>
      <c r="CN209" s="272"/>
      <c r="CO209" s="272"/>
      <c r="CP209" s="272"/>
      <c r="CQ209" s="272"/>
      <c r="CR209" s="272"/>
      <c r="CS209" s="272"/>
      <c r="CT209" s="272"/>
      <c r="CU209" s="272"/>
      <c r="CV209" s="272"/>
      <c r="CW209" s="272"/>
      <c r="CX209" s="272"/>
      <c r="CY209" s="272"/>
      <c r="CZ209" s="272"/>
      <c r="DA209" s="272"/>
      <c r="DB209" s="272"/>
      <c r="DC209" s="272"/>
      <c r="DD209" s="272"/>
      <c r="DE209" s="272"/>
      <c r="DF209" s="272"/>
      <c r="DG209" s="272"/>
      <c r="DH209" s="272"/>
      <c r="DI209" s="272"/>
      <c r="DJ209" s="272"/>
      <c r="DK209" s="272"/>
      <c r="DL209" s="272"/>
      <c r="DM209" s="272"/>
      <c r="DN209" s="272"/>
      <c r="DO209" s="272"/>
      <c r="DP209" s="272"/>
      <c r="DQ209" s="272"/>
      <c r="DR209" s="272"/>
      <c r="DS209" s="272"/>
      <c r="DT209" s="272"/>
      <c r="DU209" s="272"/>
      <c r="DV209" s="272"/>
      <c r="DW209" s="272"/>
      <c r="DX209" s="272"/>
      <c r="DY209" s="272"/>
      <c r="DZ209" s="272"/>
      <c r="EA209" s="272"/>
      <c r="EB209" s="272"/>
      <c r="EC209" s="272"/>
      <c r="ED209" s="272"/>
      <c r="EE209" s="272"/>
      <c r="EF209" s="272"/>
      <c r="EG209" s="272"/>
      <c r="EH209" s="272"/>
      <c r="EI209" s="272"/>
      <c r="EJ209" s="272"/>
      <c r="EK209" s="272"/>
      <c r="EL209" s="272"/>
      <c r="EM209" s="272"/>
      <c r="EN209" s="272"/>
      <c r="EO209" s="272"/>
      <c r="EP209" s="272"/>
      <c r="EQ209" s="272"/>
      <c r="ER209" s="272"/>
      <c r="ES209" s="272"/>
      <c r="ET209" s="272"/>
      <c r="EU209" s="272"/>
      <c r="EV209" s="272"/>
      <c r="EW209" s="272"/>
      <c r="EX209" s="272"/>
      <c r="EY209" s="272"/>
      <c r="EZ209" s="272"/>
      <c r="FA209" s="272"/>
      <c r="FB209" s="272"/>
      <c r="FC209" s="272"/>
      <c r="FD209" s="272"/>
      <c r="FE209" s="272"/>
      <c r="FF209" s="272"/>
      <c r="FG209" s="272"/>
      <c r="FH209" s="272"/>
      <c r="FI209" s="272"/>
      <c r="FJ209" s="272"/>
      <c r="FK209" s="272"/>
      <c r="FL209" s="272"/>
      <c r="FM209" s="272"/>
      <c r="FN209" s="272"/>
      <c r="FO209" s="272"/>
      <c r="FP209" s="272"/>
      <c r="FQ209" s="272"/>
      <c r="FR209" s="272"/>
      <c r="FS209" s="272"/>
      <c r="FT209" s="272"/>
      <c r="FU209" s="272"/>
      <c r="FV209" s="272"/>
      <c r="FW209" s="272"/>
      <c r="FX209" s="272"/>
      <c r="FY209" s="272"/>
      <c r="FZ209" s="272"/>
      <c r="GA209" s="272"/>
      <c r="GB209" s="272"/>
      <c r="GC209" s="272"/>
      <c r="GD209" s="272"/>
      <c r="GE209" s="272"/>
      <c r="GF209" s="272"/>
      <c r="GG209" s="272"/>
      <c r="GH209" s="272"/>
      <c r="GI209" s="272"/>
      <c r="GJ209" s="272"/>
      <c r="GK209" s="272"/>
      <c r="GL209" s="272"/>
      <c r="GM209" s="272"/>
      <c r="GN209" s="272"/>
      <c r="GO209" s="272"/>
      <c r="GP209" s="272"/>
      <c r="GQ209" s="272"/>
      <c r="GR209" s="272"/>
      <c r="GS209" s="272"/>
      <c r="GT209" s="272"/>
      <c r="GU209" s="272"/>
      <c r="GV209" s="272"/>
      <c r="GW209" s="272"/>
      <c r="GX209" s="272"/>
      <c r="GY209" s="272"/>
      <c r="GZ209" s="272"/>
      <c r="HA209" s="272"/>
      <c r="HB209" s="272"/>
      <c r="HC209" s="272"/>
      <c r="HD209" s="272"/>
      <c r="HE209" s="272"/>
      <c r="HF209" s="272"/>
      <c r="HG209" s="272"/>
      <c r="HH209" s="272"/>
      <c r="HI209" s="272"/>
      <c r="HJ209" s="272"/>
      <c r="HK209" s="272"/>
      <c r="HL209" s="272"/>
      <c r="HM209" s="272"/>
      <c r="HN209" s="272"/>
      <c r="HO209" s="272"/>
      <c r="HP209" s="272"/>
      <c r="HQ209" s="272"/>
      <c r="HR209" s="272"/>
      <c r="HS209" s="272"/>
      <c r="HT209" s="272"/>
      <c r="HU209" s="272"/>
      <c r="HV209" s="272"/>
      <c r="HW209" s="272"/>
      <c r="HX209" s="272"/>
      <c r="HY209" s="272"/>
      <c r="HZ209" s="272"/>
      <c r="IA209" s="272"/>
      <c r="IB209" s="272"/>
      <c r="IC209" s="272"/>
      <c r="ID209" s="272"/>
      <c r="IE209" s="272"/>
      <c r="IF209" s="272"/>
      <c r="IG209" s="272"/>
      <c r="IH209" s="272"/>
      <c r="II209" s="272"/>
      <c r="IJ209" s="272"/>
      <c r="IK209" s="272"/>
      <c r="IL209" s="272"/>
      <c r="IM209" s="272"/>
      <c r="IN209" s="272"/>
      <c r="IO209" s="272"/>
      <c r="IP209" s="272"/>
      <c r="IQ209" s="272"/>
      <c r="IR209" s="272"/>
      <c r="IS209" s="272"/>
      <c r="IT209" s="272"/>
      <c r="IU209" s="272"/>
      <c r="IV209" s="272"/>
      <c r="IW209" s="272"/>
      <c r="IX209" s="272"/>
      <c r="IY209" s="272"/>
      <c r="IZ209" s="272"/>
      <c r="JA209" s="272"/>
      <c r="JB209" s="272"/>
      <c r="JC209" s="272"/>
      <c r="JD209" s="272"/>
      <c r="JE209" s="272"/>
      <c r="JF209" s="272"/>
      <c r="JG209" s="272"/>
      <c r="JH209" s="272"/>
      <c r="JI209" s="272"/>
      <c r="JJ209" s="272"/>
      <c r="JK209" s="272"/>
      <c r="JL209" s="272"/>
      <c r="JM209" s="272"/>
      <c r="JN209" s="272"/>
      <c r="JO209" s="272"/>
      <c r="JP209" s="272"/>
      <c r="JQ209" s="272"/>
      <c r="JR209" s="272"/>
      <c r="JS209" s="272"/>
      <c r="JT209" s="272"/>
      <c r="JU209" s="272"/>
      <c r="JV209" s="272"/>
      <c r="JW209" s="272"/>
      <c r="JX209" s="272"/>
      <c r="JY209" s="272"/>
      <c r="JZ209" s="272"/>
      <c r="KA209" s="272"/>
      <c r="KB209" s="272"/>
      <c r="KC209" s="272"/>
      <c r="KD209" s="272"/>
      <c r="KE209" s="272"/>
      <c r="KF209" s="272"/>
      <c r="KG209" s="272"/>
      <c r="KH209" s="272"/>
      <c r="KI209" s="272"/>
      <c r="KJ209" s="272"/>
      <c r="KK209" s="272"/>
      <c r="KL209" s="272"/>
      <c r="KM209" s="272"/>
      <c r="KN209" s="272"/>
      <c r="KO209" s="272"/>
      <c r="KP209" s="272"/>
      <c r="KQ209" s="272"/>
      <c r="KR209" s="272"/>
      <c r="KS209" s="272"/>
      <c r="KT209" s="272"/>
      <c r="KU209" s="272"/>
      <c r="KV209" s="272"/>
      <c r="KW209" s="272"/>
      <c r="KX209" s="272"/>
      <c r="KY209" s="272"/>
      <c r="KZ209" s="272"/>
      <c r="LA209" s="272"/>
      <c r="LB209" s="272"/>
      <c r="LC209" s="272"/>
      <c r="LD209" s="272"/>
      <c r="LE209" s="272"/>
      <c r="LF209" s="272"/>
      <c r="LG209" s="272"/>
      <c r="LH209" s="272"/>
      <c r="LI209" s="272"/>
      <c r="LJ209" s="272"/>
      <c r="LK209" s="272"/>
      <c r="LL209" s="272"/>
      <c r="LM209" s="272"/>
      <c r="LN209" s="272"/>
      <c r="LO209" s="272"/>
      <c r="LP209" s="272"/>
      <c r="LQ209" s="272"/>
      <c r="LR209" s="272"/>
      <c r="LS209" s="272"/>
      <c r="LT209" s="272"/>
      <c r="LU209" s="272"/>
      <c r="LV209" s="272"/>
      <c r="LW209" s="272"/>
      <c r="LX209" s="272"/>
      <c r="LY209" s="272"/>
      <c r="LZ209" s="272"/>
      <c r="MA209" s="272"/>
      <c r="MB209" s="272"/>
      <c r="MC209" s="272"/>
      <c r="MD209" s="272"/>
      <c r="ME209" s="272"/>
      <c r="MF209" s="272"/>
      <c r="MG209" s="272"/>
      <c r="MH209" s="272"/>
      <c r="MI209" s="272"/>
      <c r="MJ209" s="272"/>
      <c r="MK209" s="272"/>
      <c r="ML209" s="272"/>
      <c r="MM209" s="272"/>
      <c r="MN209" s="272"/>
      <c r="MO209" s="272"/>
      <c r="MP209" s="272"/>
      <c r="MQ209" s="272"/>
      <c r="MR209" s="272"/>
      <c r="MS209" s="272"/>
      <c r="MT209" s="272"/>
      <c r="MU209" s="272"/>
      <c r="MV209" s="272"/>
      <c r="MW209" s="272"/>
      <c r="MX209" s="272"/>
      <c r="MY209" s="272"/>
      <c r="MZ209" s="272"/>
      <c r="NA209" s="272"/>
      <c r="NB209" s="272"/>
      <c r="NC209" s="272"/>
      <c r="ND209" s="272"/>
      <c r="NE209" s="272"/>
      <c r="NF209" s="272"/>
      <c r="NG209" s="272"/>
      <c r="NH209" s="272"/>
      <c r="NI209" s="272"/>
      <c r="NJ209" s="272"/>
      <c r="NK209" s="272"/>
      <c r="NL209" s="272"/>
      <c r="NM209" s="272"/>
      <c r="NN209" s="272"/>
      <c r="NO209" s="272"/>
      <c r="NP209" s="272"/>
      <c r="NQ209" s="272"/>
      <c r="NR209" s="272"/>
      <c r="NS209" s="272"/>
      <c r="NT209" s="272"/>
      <c r="NU209" s="272"/>
      <c r="NV209" s="272"/>
      <c r="NW209" s="272"/>
      <c r="NX209" s="272"/>
      <c r="NY209" s="272"/>
      <c r="NZ209" s="272"/>
      <c r="OA209" s="272"/>
      <c r="OB209" s="272"/>
      <c r="OC209" s="272"/>
      <c r="OD209" s="272"/>
      <c r="OE209" s="272"/>
      <c r="OF209" s="272"/>
      <c r="OG209" s="272"/>
      <c r="OH209" s="272"/>
      <c r="OI209" s="272"/>
      <c r="OJ209" s="272"/>
      <c r="OK209" s="272"/>
      <c r="OL209" s="272"/>
      <c r="OM209" s="272"/>
      <c r="ON209" s="272"/>
      <c r="OO209" s="272"/>
      <c r="OP209" s="272"/>
      <c r="OQ209" s="272"/>
      <c r="OR209" s="272"/>
      <c r="OS209" s="272"/>
      <c r="OT209" s="272"/>
      <c r="OU209" s="272"/>
      <c r="OV209" s="272"/>
      <c r="OW209" s="272"/>
      <c r="OX209" s="272"/>
      <c r="OY209" s="272"/>
      <c r="OZ209" s="272"/>
      <c r="PA209" s="272"/>
      <c r="PB209" s="272"/>
      <c r="PC209" s="272"/>
      <c r="PD209" s="272"/>
      <c r="PE209" s="272"/>
      <c r="PF209" s="272"/>
      <c r="PG209" s="272"/>
      <c r="PH209" s="272"/>
      <c r="PI209" s="272"/>
      <c r="PJ209" s="272"/>
      <c r="PK209" s="272"/>
      <c r="PL209" s="272"/>
      <c r="PM209" s="272"/>
      <c r="PN209" s="272"/>
      <c r="PO209" s="272"/>
      <c r="PP209" s="272"/>
      <c r="PQ209" s="272"/>
      <c r="PR209" s="272"/>
      <c r="PS209" s="272"/>
      <c r="PT209" s="272"/>
      <c r="PU209" s="272"/>
      <c r="PV209" s="272"/>
      <c r="PW209" s="272"/>
      <c r="PX209" s="272"/>
      <c r="PY209" s="272"/>
      <c r="PZ209" s="272"/>
      <c r="QA209" s="272"/>
      <c r="QB209" s="272"/>
      <c r="QC209" s="272"/>
      <c r="QD209" s="272"/>
      <c r="QE209" s="272"/>
      <c r="QF209" s="272"/>
      <c r="QG209" s="272"/>
      <c r="QH209" s="272"/>
      <c r="QI209" s="272"/>
      <c r="QJ209" s="272"/>
      <c r="QK209" s="272"/>
      <c r="QL209" s="272"/>
      <c r="QM209" s="272"/>
      <c r="QN209" s="272"/>
      <c r="QO209" s="272"/>
      <c r="QP209" s="272"/>
      <c r="QQ209" s="272"/>
      <c r="QR209" s="272"/>
      <c r="QS209" s="272"/>
      <c r="QT209" s="272"/>
      <c r="QU209" s="272"/>
      <c r="QV209" s="272"/>
      <c r="QW209" s="272"/>
      <c r="QX209" s="272"/>
      <c r="QY209" s="272"/>
      <c r="QZ209" s="272"/>
      <c r="RA209" s="272"/>
      <c r="RB209" s="272"/>
      <c r="RC209" s="272"/>
      <c r="RD209" s="272"/>
      <c r="RE209" s="272"/>
      <c r="RF209" s="272"/>
      <c r="RG209" s="272"/>
      <c r="RH209" s="272"/>
      <c r="RI209" s="272"/>
      <c r="RJ209" s="272"/>
      <c r="RK209" s="272"/>
      <c r="RL209" s="272"/>
      <c r="RM209" s="272"/>
      <c r="RN209" s="272"/>
      <c r="RO209" s="272"/>
      <c r="RP209" s="272"/>
      <c r="RQ209" s="272"/>
      <c r="RR209" s="272"/>
      <c r="RS209" s="272"/>
      <c r="RT209" s="272"/>
      <c r="RU209" s="272"/>
      <c r="RV209" s="272"/>
      <c r="RW209" s="272"/>
      <c r="RX209" s="272"/>
      <c r="RY209" s="272"/>
      <c r="RZ209" s="272"/>
      <c r="SA209" s="272"/>
      <c r="SB209" s="272"/>
      <c r="SC209" s="272"/>
      <c r="SD209" s="272"/>
      <c r="SE209" s="272"/>
      <c r="SF209" s="272"/>
      <c r="SG209" s="272"/>
      <c r="SH209" s="272"/>
      <c r="SI209" s="272"/>
      <c r="SJ209" s="272"/>
      <c r="SK209" s="272"/>
      <c r="SL209" s="272"/>
      <c r="SM209" s="272"/>
      <c r="SN209" s="272"/>
      <c r="SO209" s="272"/>
      <c r="SP209" s="272"/>
      <c r="SQ209" s="272"/>
      <c r="SR209" s="272"/>
      <c r="SS209" s="272"/>
      <c r="ST209" s="272"/>
      <c r="SU209" s="272"/>
      <c r="SV209" s="272"/>
      <c r="SW209" s="272"/>
      <c r="SX209" s="272"/>
      <c r="SY209" s="272"/>
      <c r="SZ209" s="272"/>
      <c r="TA209" s="272"/>
      <c r="TB209" s="272"/>
      <c r="TC209" s="272"/>
      <c r="TD209" s="272"/>
      <c r="TE209" s="272"/>
      <c r="TF209" s="272"/>
      <c r="TG209" s="272"/>
      <c r="TH209" s="272"/>
      <c r="TI209" s="272"/>
      <c r="TJ209" s="272"/>
      <c r="TK209" s="272"/>
      <c r="TL209" s="272"/>
      <c r="TM209" s="272"/>
      <c r="TN209" s="272"/>
      <c r="TO209" s="272"/>
      <c r="TP209" s="272"/>
      <c r="TQ209" s="272"/>
      <c r="TR209" s="272"/>
      <c r="TS209" s="272"/>
      <c r="TT209" s="272"/>
      <c r="TU209" s="272"/>
      <c r="TV209" s="272"/>
      <c r="TW209" s="272"/>
      <c r="TX209" s="272"/>
      <c r="TY209" s="272"/>
      <c r="TZ209" s="272"/>
      <c r="UA209" s="272"/>
      <c r="UB209" s="272"/>
      <c r="UC209" s="272"/>
      <c r="UD209" s="272"/>
      <c r="UE209" s="272"/>
      <c r="UF209" s="272"/>
      <c r="UG209" s="272"/>
      <c r="UH209" s="272"/>
      <c r="UI209" s="272"/>
      <c r="UJ209" s="272"/>
      <c r="UK209" s="272"/>
      <c r="UL209" s="272"/>
      <c r="UM209" s="272"/>
      <c r="UN209" s="272"/>
      <c r="UO209" s="272"/>
      <c r="UP209" s="272"/>
      <c r="UQ209" s="272"/>
      <c r="UR209" s="272"/>
      <c r="US209" s="272"/>
      <c r="UT209" s="272"/>
      <c r="UU209" s="272"/>
      <c r="UV209" s="272"/>
      <c r="UW209" s="272"/>
      <c r="UX209" s="272"/>
      <c r="UY209" s="272"/>
      <c r="UZ209" s="272"/>
      <c r="VA209" s="272"/>
      <c r="VB209" s="272"/>
      <c r="VC209" s="272"/>
      <c r="VD209" s="272"/>
      <c r="VE209" s="272"/>
      <c r="VF209" s="272"/>
      <c r="VG209" s="272"/>
      <c r="VH209" s="272"/>
      <c r="VI209" s="272"/>
      <c r="VJ209" s="272"/>
      <c r="VK209" s="272"/>
      <c r="VL209" s="272"/>
      <c r="VM209" s="272"/>
      <c r="VN209" s="272"/>
      <c r="VO209" s="272"/>
      <c r="VP209" s="272"/>
      <c r="VQ209" s="272"/>
      <c r="VR209" s="272"/>
      <c r="VS209" s="272"/>
      <c r="VT209" s="272"/>
      <c r="VU209" s="272"/>
      <c r="VV209" s="272"/>
      <c r="VW209" s="272"/>
      <c r="VX209" s="272"/>
      <c r="VY209" s="272"/>
      <c r="VZ209" s="272"/>
      <c r="WA209" s="272"/>
      <c r="WB209" s="272"/>
      <c r="WC209" s="272"/>
      <c r="WD209" s="272"/>
      <c r="WE209" s="272"/>
      <c r="WF209" s="272"/>
      <c r="WG209" s="272"/>
      <c r="WH209" s="272"/>
      <c r="WI209" s="272"/>
      <c r="WJ209" s="272"/>
      <c r="WK209" s="272"/>
      <c r="WL209" s="272"/>
      <c r="WM209" s="272"/>
      <c r="WN209" s="272"/>
      <c r="WO209" s="272"/>
      <c r="WP209" s="272"/>
      <c r="WQ209" s="272"/>
      <c r="WR209" s="272"/>
      <c r="WS209" s="272"/>
      <c r="WT209" s="272"/>
      <c r="WU209" s="272"/>
      <c r="WV209" s="272"/>
      <c r="WW209" s="272"/>
      <c r="WX209" s="272"/>
      <c r="WY209" s="272"/>
      <c r="WZ209" s="272"/>
      <c r="XA209" s="272"/>
      <c r="XB209" s="272"/>
      <c r="XC209" s="272"/>
      <c r="XD209" s="272"/>
      <c r="XE209" s="272"/>
      <c r="XF209" s="272"/>
      <c r="XG209" s="272"/>
      <c r="XH209" s="272"/>
      <c r="XI209" s="272"/>
      <c r="XJ209" s="272"/>
      <c r="XK209" s="272"/>
      <c r="XL209" s="272"/>
      <c r="XM209" s="272"/>
    </row>
    <row r="210" spans="1:637" s="10" customFormat="1" ht="39" customHeight="1">
      <c r="A210" s="220">
        <v>6</v>
      </c>
      <c r="B210" s="220" t="s">
        <v>3</v>
      </c>
      <c r="C210" s="220" t="s">
        <v>361</v>
      </c>
      <c r="D210" s="220" t="s">
        <v>14</v>
      </c>
      <c r="E210" s="221">
        <v>600000</v>
      </c>
      <c r="F210" s="220"/>
      <c r="G210" s="220" t="s">
        <v>14</v>
      </c>
      <c r="H210" s="220" t="s">
        <v>14</v>
      </c>
      <c r="I210" s="221">
        <f>(I211)</f>
        <v>0</v>
      </c>
      <c r="J210" s="221">
        <f>(E210-I210)</f>
        <v>600000</v>
      </c>
      <c r="K210" s="220" t="s">
        <v>14</v>
      </c>
      <c r="L210" s="220" t="s">
        <v>14</v>
      </c>
      <c r="M210" s="272"/>
      <c r="N210" s="272"/>
      <c r="O210" s="272"/>
      <c r="P210" s="272"/>
      <c r="Q210" s="272"/>
      <c r="R210" s="272"/>
      <c r="S210" s="272"/>
      <c r="T210" s="272"/>
      <c r="U210" s="272"/>
      <c r="V210" s="272"/>
      <c r="W210" s="272"/>
      <c r="X210" s="272"/>
      <c r="Y210" s="272"/>
      <c r="Z210" s="272"/>
      <c r="AA210" s="272"/>
      <c r="AB210" s="272"/>
      <c r="AC210" s="272"/>
      <c r="AD210" s="272"/>
      <c r="AE210" s="272"/>
      <c r="AF210" s="272"/>
      <c r="AG210" s="272"/>
      <c r="AH210" s="272"/>
      <c r="AI210" s="272"/>
      <c r="AJ210" s="272"/>
      <c r="AK210" s="272"/>
      <c r="AL210" s="272"/>
      <c r="AM210" s="272"/>
      <c r="AN210" s="272"/>
      <c r="AO210" s="272"/>
      <c r="AP210" s="272"/>
      <c r="AQ210" s="272"/>
      <c r="AR210" s="272"/>
      <c r="AS210" s="272"/>
      <c r="AT210" s="272"/>
      <c r="AU210" s="272"/>
      <c r="AV210" s="272"/>
      <c r="AW210" s="272"/>
      <c r="AX210" s="272"/>
      <c r="AY210" s="272"/>
      <c r="AZ210" s="272"/>
      <c r="BA210" s="272"/>
      <c r="BB210" s="272"/>
      <c r="BC210" s="272"/>
      <c r="BD210" s="272"/>
      <c r="BE210" s="272"/>
      <c r="BF210" s="272"/>
      <c r="BG210" s="272"/>
      <c r="BH210" s="272"/>
      <c r="BI210" s="272"/>
      <c r="BJ210" s="272"/>
      <c r="BK210" s="272"/>
      <c r="BL210" s="272"/>
      <c r="BM210" s="272"/>
      <c r="BN210" s="272"/>
      <c r="BO210" s="272"/>
      <c r="BP210" s="272"/>
      <c r="BQ210" s="272"/>
      <c r="BR210" s="272"/>
      <c r="BS210" s="272"/>
      <c r="BT210" s="272"/>
      <c r="BU210" s="272"/>
      <c r="BV210" s="272"/>
      <c r="BW210" s="272"/>
      <c r="BX210" s="272"/>
      <c r="BY210" s="272"/>
      <c r="BZ210" s="272"/>
      <c r="CA210" s="272"/>
      <c r="CB210" s="272"/>
      <c r="CC210" s="272"/>
      <c r="CD210" s="272"/>
      <c r="CE210" s="272"/>
      <c r="CF210" s="272"/>
      <c r="CG210" s="272"/>
      <c r="CH210" s="272"/>
      <c r="CI210" s="272"/>
      <c r="CJ210" s="272"/>
      <c r="CK210" s="272"/>
      <c r="CL210" s="272"/>
      <c r="CM210" s="272"/>
      <c r="CN210" s="272"/>
      <c r="CO210" s="272"/>
      <c r="CP210" s="272"/>
      <c r="CQ210" s="272"/>
      <c r="CR210" s="272"/>
      <c r="CS210" s="272"/>
      <c r="CT210" s="272"/>
      <c r="CU210" s="272"/>
      <c r="CV210" s="272"/>
      <c r="CW210" s="272"/>
      <c r="CX210" s="272"/>
      <c r="CY210" s="272"/>
      <c r="CZ210" s="272"/>
      <c r="DA210" s="272"/>
      <c r="DB210" s="272"/>
      <c r="DC210" s="272"/>
      <c r="DD210" s="272"/>
      <c r="DE210" s="272"/>
      <c r="DF210" s="272"/>
      <c r="DG210" s="272"/>
      <c r="DH210" s="272"/>
      <c r="DI210" s="272"/>
      <c r="DJ210" s="272"/>
      <c r="DK210" s="272"/>
      <c r="DL210" s="272"/>
      <c r="DM210" s="272"/>
      <c r="DN210" s="272"/>
      <c r="DO210" s="272"/>
      <c r="DP210" s="272"/>
      <c r="DQ210" s="272"/>
      <c r="DR210" s="272"/>
      <c r="DS210" s="272"/>
      <c r="DT210" s="272"/>
      <c r="DU210" s="272"/>
      <c r="DV210" s="272"/>
      <c r="DW210" s="272"/>
      <c r="DX210" s="272"/>
      <c r="DY210" s="272"/>
      <c r="DZ210" s="272"/>
      <c r="EA210" s="272"/>
      <c r="EB210" s="272"/>
      <c r="EC210" s="272"/>
      <c r="ED210" s="272"/>
      <c r="EE210" s="272"/>
      <c r="EF210" s="272"/>
      <c r="EG210" s="272"/>
      <c r="EH210" s="272"/>
      <c r="EI210" s="272"/>
      <c r="EJ210" s="272"/>
      <c r="EK210" s="272"/>
      <c r="EL210" s="272"/>
      <c r="EM210" s="272"/>
      <c r="EN210" s="272"/>
      <c r="EO210" s="272"/>
      <c r="EP210" s="272"/>
      <c r="EQ210" s="272"/>
      <c r="ER210" s="272"/>
      <c r="ES210" s="272"/>
      <c r="ET210" s="272"/>
      <c r="EU210" s="272"/>
      <c r="EV210" s="272"/>
      <c r="EW210" s="272"/>
      <c r="EX210" s="272"/>
      <c r="EY210" s="272"/>
      <c r="EZ210" s="272"/>
      <c r="FA210" s="272"/>
      <c r="FB210" s="272"/>
      <c r="FC210" s="272"/>
      <c r="FD210" s="272"/>
      <c r="FE210" s="272"/>
      <c r="FF210" s="272"/>
      <c r="FG210" s="272"/>
      <c r="FH210" s="272"/>
      <c r="FI210" s="272"/>
      <c r="FJ210" s="272"/>
      <c r="FK210" s="272"/>
      <c r="FL210" s="272"/>
      <c r="FM210" s="272"/>
      <c r="FN210" s="272"/>
      <c r="FO210" s="272"/>
      <c r="FP210" s="272"/>
      <c r="FQ210" s="272"/>
      <c r="FR210" s="272"/>
      <c r="FS210" s="272"/>
      <c r="FT210" s="272"/>
      <c r="FU210" s="272"/>
      <c r="FV210" s="272"/>
      <c r="FW210" s="272"/>
      <c r="FX210" s="272"/>
      <c r="FY210" s="272"/>
      <c r="FZ210" s="272"/>
      <c r="GA210" s="272"/>
      <c r="GB210" s="272"/>
      <c r="GC210" s="272"/>
      <c r="GD210" s="272"/>
      <c r="GE210" s="272"/>
      <c r="GF210" s="272"/>
      <c r="GG210" s="272"/>
      <c r="GH210" s="272"/>
      <c r="GI210" s="272"/>
      <c r="GJ210" s="272"/>
      <c r="GK210" s="272"/>
      <c r="GL210" s="272"/>
      <c r="GM210" s="272"/>
      <c r="GN210" s="272"/>
      <c r="GO210" s="272"/>
      <c r="GP210" s="272"/>
      <c r="GQ210" s="272"/>
      <c r="GR210" s="272"/>
      <c r="GS210" s="272"/>
      <c r="GT210" s="272"/>
      <c r="GU210" s="272"/>
      <c r="GV210" s="272"/>
      <c r="GW210" s="272"/>
      <c r="GX210" s="272"/>
      <c r="GY210" s="272"/>
      <c r="GZ210" s="272"/>
      <c r="HA210" s="272"/>
      <c r="HB210" s="272"/>
      <c r="HC210" s="272"/>
      <c r="HD210" s="272"/>
      <c r="HE210" s="272"/>
      <c r="HF210" s="272"/>
      <c r="HG210" s="272"/>
      <c r="HH210" s="272"/>
      <c r="HI210" s="272"/>
      <c r="HJ210" s="272"/>
      <c r="HK210" s="272"/>
      <c r="HL210" s="272"/>
      <c r="HM210" s="272"/>
      <c r="HN210" s="272"/>
      <c r="HO210" s="272"/>
      <c r="HP210" s="272"/>
      <c r="HQ210" s="272"/>
      <c r="HR210" s="272"/>
      <c r="HS210" s="272"/>
      <c r="HT210" s="272"/>
      <c r="HU210" s="272"/>
      <c r="HV210" s="272"/>
      <c r="HW210" s="272"/>
      <c r="HX210" s="272"/>
      <c r="HY210" s="272"/>
      <c r="HZ210" s="272"/>
      <c r="IA210" s="272"/>
      <c r="IB210" s="272"/>
      <c r="IC210" s="272"/>
      <c r="ID210" s="272"/>
      <c r="IE210" s="272"/>
      <c r="IF210" s="272"/>
      <c r="IG210" s="272"/>
      <c r="IH210" s="272"/>
      <c r="II210" s="272"/>
      <c r="IJ210" s="272"/>
      <c r="IK210" s="272"/>
      <c r="IL210" s="272"/>
      <c r="IM210" s="272"/>
      <c r="IN210" s="272"/>
      <c r="IO210" s="272"/>
      <c r="IP210" s="272"/>
      <c r="IQ210" s="272"/>
      <c r="IR210" s="272"/>
      <c r="IS210" s="272"/>
      <c r="IT210" s="272"/>
      <c r="IU210" s="272"/>
      <c r="IV210" s="272"/>
      <c r="IW210" s="272"/>
      <c r="IX210" s="272"/>
      <c r="IY210" s="272"/>
      <c r="IZ210" s="272"/>
      <c r="JA210" s="272"/>
      <c r="JB210" s="272"/>
      <c r="JC210" s="272"/>
      <c r="JD210" s="272"/>
      <c r="JE210" s="272"/>
      <c r="JF210" s="272"/>
      <c r="JG210" s="272"/>
      <c r="JH210" s="272"/>
      <c r="JI210" s="272"/>
      <c r="JJ210" s="272"/>
      <c r="JK210" s="272"/>
      <c r="JL210" s="272"/>
      <c r="JM210" s="272"/>
      <c r="JN210" s="272"/>
      <c r="JO210" s="272"/>
      <c r="JP210" s="272"/>
      <c r="JQ210" s="272"/>
      <c r="JR210" s="272"/>
      <c r="JS210" s="272"/>
      <c r="JT210" s="272"/>
      <c r="JU210" s="272"/>
      <c r="JV210" s="272"/>
      <c r="JW210" s="272"/>
      <c r="JX210" s="272"/>
      <c r="JY210" s="272"/>
      <c r="JZ210" s="272"/>
      <c r="KA210" s="272"/>
      <c r="KB210" s="272"/>
      <c r="KC210" s="272"/>
      <c r="KD210" s="272"/>
      <c r="KE210" s="272"/>
      <c r="KF210" s="272"/>
      <c r="KG210" s="272"/>
      <c r="KH210" s="272"/>
      <c r="KI210" s="272"/>
      <c r="KJ210" s="272"/>
      <c r="KK210" s="272"/>
      <c r="KL210" s="272"/>
      <c r="KM210" s="272"/>
      <c r="KN210" s="272"/>
      <c r="KO210" s="272"/>
      <c r="KP210" s="272"/>
      <c r="KQ210" s="272"/>
      <c r="KR210" s="272"/>
      <c r="KS210" s="272"/>
      <c r="KT210" s="272"/>
      <c r="KU210" s="272"/>
      <c r="KV210" s="272"/>
      <c r="KW210" s="272"/>
      <c r="KX210" s="272"/>
      <c r="KY210" s="272"/>
      <c r="KZ210" s="272"/>
      <c r="LA210" s="272"/>
      <c r="LB210" s="272"/>
      <c r="LC210" s="272"/>
      <c r="LD210" s="272"/>
      <c r="LE210" s="272"/>
      <c r="LF210" s="272"/>
      <c r="LG210" s="272"/>
      <c r="LH210" s="272"/>
      <c r="LI210" s="272"/>
      <c r="LJ210" s="272"/>
      <c r="LK210" s="272"/>
      <c r="LL210" s="272"/>
      <c r="LM210" s="272"/>
      <c r="LN210" s="272"/>
      <c r="LO210" s="272"/>
      <c r="LP210" s="272"/>
      <c r="LQ210" s="272"/>
      <c r="LR210" s="272"/>
      <c r="LS210" s="272"/>
      <c r="LT210" s="272"/>
      <c r="LU210" s="272"/>
      <c r="LV210" s="272"/>
      <c r="LW210" s="272"/>
      <c r="LX210" s="272"/>
      <c r="LY210" s="272"/>
      <c r="LZ210" s="272"/>
      <c r="MA210" s="272"/>
      <c r="MB210" s="272"/>
      <c r="MC210" s="272"/>
      <c r="MD210" s="272"/>
      <c r="ME210" s="272"/>
      <c r="MF210" s="272"/>
      <c r="MG210" s="272"/>
      <c r="MH210" s="272"/>
      <c r="MI210" s="272"/>
      <c r="MJ210" s="272"/>
      <c r="MK210" s="272"/>
      <c r="ML210" s="272"/>
      <c r="MM210" s="272"/>
      <c r="MN210" s="272"/>
      <c r="MO210" s="272"/>
      <c r="MP210" s="272"/>
      <c r="MQ210" s="272"/>
      <c r="MR210" s="272"/>
      <c r="MS210" s="272"/>
      <c r="MT210" s="272"/>
      <c r="MU210" s="272"/>
      <c r="MV210" s="272"/>
      <c r="MW210" s="272"/>
      <c r="MX210" s="272"/>
      <c r="MY210" s="272"/>
      <c r="MZ210" s="272"/>
      <c r="NA210" s="272"/>
      <c r="NB210" s="272"/>
      <c r="NC210" s="272"/>
      <c r="ND210" s="272"/>
      <c r="NE210" s="272"/>
      <c r="NF210" s="272"/>
      <c r="NG210" s="272"/>
      <c r="NH210" s="272"/>
      <c r="NI210" s="272"/>
      <c r="NJ210" s="272"/>
      <c r="NK210" s="272"/>
      <c r="NL210" s="272"/>
      <c r="NM210" s="272"/>
      <c r="NN210" s="272"/>
      <c r="NO210" s="272"/>
      <c r="NP210" s="272"/>
      <c r="NQ210" s="272"/>
      <c r="NR210" s="272"/>
      <c r="NS210" s="272"/>
      <c r="NT210" s="272"/>
      <c r="NU210" s="272"/>
      <c r="NV210" s="272"/>
      <c r="NW210" s="272"/>
      <c r="NX210" s="272"/>
      <c r="NY210" s="272"/>
      <c r="NZ210" s="272"/>
      <c r="OA210" s="272"/>
      <c r="OB210" s="272"/>
      <c r="OC210" s="272"/>
      <c r="OD210" s="272"/>
      <c r="OE210" s="272"/>
      <c r="OF210" s="272"/>
      <c r="OG210" s="272"/>
      <c r="OH210" s="272"/>
      <c r="OI210" s="272"/>
      <c r="OJ210" s="272"/>
      <c r="OK210" s="272"/>
      <c r="OL210" s="272"/>
      <c r="OM210" s="272"/>
      <c r="ON210" s="272"/>
      <c r="OO210" s="272"/>
      <c r="OP210" s="272"/>
      <c r="OQ210" s="272"/>
      <c r="OR210" s="272"/>
      <c r="OS210" s="272"/>
      <c r="OT210" s="272"/>
      <c r="OU210" s="272"/>
      <c r="OV210" s="272"/>
      <c r="OW210" s="272"/>
      <c r="OX210" s="272"/>
      <c r="OY210" s="272"/>
      <c r="OZ210" s="272"/>
      <c r="PA210" s="272"/>
      <c r="PB210" s="272"/>
      <c r="PC210" s="272"/>
      <c r="PD210" s="272"/>
      <c r="PE210" s="272"/>
      <c r="PF210" s="272"/>
      <c r="PG210" s="272"/>
      <c r="PH210" s="272"/>
      <c r="PI210" s="272"/>
      <c r="PJ210" s="272"/>
      <c r="PK210" s="272"/>
      <c r="PL210" s="272"/>
      <c r="PM210" s="272"/>
      <c r="PN210" s="272"/>
      <c r="PO210" s="272"/>
      <c r="PP210" s="272"/>
      <c r="PQ210" s="272"/>
      <c r="PR210" s="272"/>
      <c r="PS210" s="272"/>
      <c r="PT210" s="272"/>
      <c r="PU210" s="272"/>
      <c r="PV210" s="272"/>
      <c r="PW210" s="272"/>
      <c r="PX210" s="272"/>
      <c r="PY210" s="272"/>
      <c r="PZ210" s="272"/>
      <c r="QA210" s="272"/>
      <c r="QB210" s="272"/>
      <c r="QC210" s="272"/>
      <c r="QD210" s="272"/>
      <c r="QE210" s="272"/>
      <c r="QF210" s="272"/>
      <c r="QG210" s="272"/>
      <c r="QH210" s="272"/>
      <c r="QI210" s="272"/>
      <c r="QJ210" s="272"/>
      <c r="QK210" s="272"/>
      <c r="QL210" s="272"/>
      <c r="QM210" s="272"/>
      <c r="QN210" s="272"/>
      <c r="QO210" s="272"/>
      <c r="QP210" s="272"/>
      <c r="QQ210" s="272"/>
      <c r="QR210" s="272"/>
      <c r="QS210" s="272"/>
      <c r="QT210" s="272"/>
      <c r="QU210" s="272"/>
      <c r="QV210" s="272"/>
      <c r="QW210" s="272"/>
      <c r="QX210" s="272"/>
      <c r="QY210" s="272"/>
      <c r="QZ210" s="272"/>
      <c r="RA210" s="272"/>
      <c r="RB210" s="272"/>
      <c r="RC210" s="272"/>
      <c r="RD210" s="272"/>
      <c r="RE210" s="272"/>
      <c r="RF210" s="272"/>
      <c r="RG210" s="272"/>
      <c r="RH210" s="272"/>
      <c r="RI210" s="272"/>
      <c r="RJ210" s="272"/>
      <c r="RK210" s="272"/>
      <c r="RL210" s="272"/>
      <c r="RM210" s="272"/>
      <c r="RN210" s="272"/>
      <c r="RO210" s="272"/>
      <c r="RP210" s="272"/>
      <c r="RQ210" s="272"/>
      <c r="RR210" s="272"/>
      <c r="RS210" s="272"/>
      <c r="RT210" s="272"/>
      <c r="RU210" s="272"/>
      <c r="RV210" s="272"/>
      <c r="RW210" s="272"/>
      <c r="RX210" s="272"/>
      <c r="RY210" s="272"/>
      <c r="RZ210" s="272"/>
      <c r="SA210" s="272"/>
      <c r="SB210" s="272"/>
      <c r="SC210" s="272"/>
      <c r="SD210" s="272"/>
      <c r="SE210" s="272"/>
      <c r="SF210" s="272"/>
      <c r="SG210" s="272"/>
      <c r="SH210" s="272"/>
      <c r="SI210" s="272"/>
      <c r="SJ210" s="272"/>
      <c r="SK210" s="272"/>
      <c r="SL210" s="272"/>
      <c r="SM210" s="272"/>
      <c r="SN210" s="272"/>
      <c r="SO210" s="272"/>
      <c r="SP210" s="272"/>
      <c r="SQ210" s="272"/>
      <c r="SR210" s="272"/>
      <c r="SS210" s="272"/>
      <c r="ST210" s="272"/>
      <c r="SU210" s="272"/>
      <c r="SV210" s="272"/>
      <c r="SW210" s="272"/>
      <c r="SX210" s="272"/>
      <c r="SY210" s="272"/>
      <c r="SZ210" s="272"/>
      <c r="TA210" s="272"/>
      <c r="TB210" s="272"/>
      <c r="TC210" s="272"/>
      <c r="TD210" s="272"/>
      <c r="TE210" s="272"/>
      <c r="TF210" s="272"/>
      <c r="TG210" s="272"/>
      <c r="TH210" s="272"/>
      <c r="TI210" s="272"/>
      <c r="TJ210" s="272"/>
      <c r="TK210" s="272"/>
      <c r="TL210" s="272"/>
      <c r="TM210" s="272"/>
      <c r="TN210" s="272"/>
      <c r="TO210" s="272"/>
      <c r="TP210" s="272"/>
      <c r="TQ210" s="272"/>
      <c r="TR210" s="272"/>
      <c r="TS210" s="272"/>
      <c r="TT210" s="272"/>
      <c r="TU210" s="272"/>
      <c r="TV210" s="272"/>
      <c r="TW210" s="272"/>
      <c r="TX210" s="272"/>
      <c r="TY210" s="272"/>
      <c r="TZ210" s="272"/>
      <c r="UA210" s="272"/>
      <c r="UB210" s="272"/>
      <c r="UC210" s="272"/>
      <c r="UD210" s="272"/>
      <c r="UE210" s="272"/>
      <c r="UF210" s="272"/>
      <c r="UG210" s="272"/>
      <c r="UH210" s="272"/>
      <c r="UI210" s="272"/>
      <c r="UJ210" s="272"/>
      <c r="UK210" s="272"/>
      <c r="UL210" s="272"/>
      <c r="UM210" s="272"/>
      <c r="UN210" s="272"/>
      <c r="UO210" s="272"/>
      <c r="UP210" s="272"/>
      <c r="UQ210" s="272"/>
      <c r="UR210" s="272"/>
      <c r="US210" s="272"/>
      <c r="UT210" s="272"/>
      <c r="UU210" s="272"/>
      <c r="UV210" s="272"/>
      <c r="UW210" s="272"/>
      <c r="UX210" s="272"/>
      <c r="UY210" s="272"/>
      <c r="UZ210" s="272"/>
      <c r="VA210" s="272"/>
      <c r="VB210" s="272"/>
      <c r="VC210" s="272"/>
      <c r="VD210" s="272"/>
      <c r="VE210" s="272"/>
      <c r="VF210" s="272"/>
      <c r="VG210" s="272"/>
      <c r="VH210" s="272"/>
      <c r="VI210" s="272"/>
      <c r="VJ210" s="272"/>
      <c r="VK210" s="272"/>
      <c r="VL210" s="272"/>
      <c r="VM210" s="272"/>
      <c r="VN210" s="272"/>
      <c r="VO210" s="272"/>
      <c r="VP210" s="272"/>
      <c r="VQ210" s="272"/>
      <c r="VR210" s="272"/>
      <c r="VS210" s="272"/>
      <c r="VT210" s="272"/>
      <c r="VU210" s="272"/>
      <c r="VV210" s="272"/>
      <c r="VW210" s="272"/>
      <c r="VX210" s="272"/>
      <c r="VY210" s="272"/>
      <c r="VZ210" s="272"/>
      <c r="WA210" s="272"/>
      <c r="WB210" s="272"/>
      <c r="WC210" s="272"/>
      <c r="WD210" s="272"/>
      <c r="WE210" s="272"/>
      <c r="WF210" s="272"/>
      <c r="WG210" s="272"/>
      <c r="WH210" s="272"/>
      <c r="WI210" s="272"/>
      <c r="WJ210" s="272"/>
      <c r="WK210" s="272"/>
      <c r="WL210" s="272"/>
      <c r="WM210" s="272"/>
      <c r="WN210" s="272"/>
      <c r="WO210" s="272"/>
      <c r="WP210" s="272"/>
      <c r="WQ210" s="272"/>
      <c r="WR210" s="272"/>
      <c r="WS210" s="272"/>
      <c r="WT210" s="272"/>
      <c r="WU210" s="272"/>
      <c r="WV210" s="272"/>
      <c r="WW210" s="272"/>
      <c r="WX210" s="272"/>
      <c r="WY210" s="272"/>
      <c r="WZ210" s="272"/>
      <c r="XA210" s="272"/>
      <c r="XB210" s="272"/>
      <c r="XC210" s="272"/>
      <c r="XD210" s="272"/>
      <c r="XE210" s="272"/>
      <c r="XF210" s="272"/>
      <c r="XG210" s="272"/>
      <c r="XH210" s="272"/>
      <c r="XI210" s="272"/>
      <c r="XJ210" s="272"/>
      <c r="XK210" s="272"/>
      <c r="XL210" s="272"/>
      <c r="XM210" s="272"/>
    </row>
    <row r="211" spans="1:637" s="10" customFormat="1" ht="46">
      <c r="A211" s="222">
        <v>6.1</v>
      </c>
      <c r="B211" s="223"/>
      <c r="C211" s="222" t="s">
        <v>362</v>
      </c>
      <c r="D211" s="222" t="s">
        <v>363</v>
      </c>
      <c r="E211" s="224">
        <f>SUM(E212:E217)</f>
        <v>240000</v>
      </c>
      <c r="F211" s="224"/>
      <c r="G211" s="222" t="s">
        <v>364</v>
      </c>
      <c r="H211" s="224"/>
      <c r="I211" s="224">
        <f>SUM(I212:I217)</f>
        <v>0</v>
      </c>
      <c r="J211" s="273">
        <f>(E211-I211)</f>
        <v>240000</v>
      </c>
      <c r="K211" s="222" t="s">
        <v>365</v>
      </c>
      <c r="L211" s="222" t="s">
        <v>366</v>
      </c>
      <c r="M211" s="272"/>
      <c r="N211" s="272"/>
      <c r="O211" s="272"/>
      <c r="P211" s="272"/>
      <c r="Q211" s="272"/>
      <c r="R211" s="272"/>
      <c r="S211" s="272"/>
      <c r="T211" s="272"/>
      <c r="U211" s="272"/>
      <c r="V211" s="272"/>
      <c r="W211" s="272"/>
      <c r="X211" s="272"/>
      <c r="Y211" s="272"/>
      <c r="Z211" s="272"/>
      <c r="AA211" s="272"/>
      <c r="AB211" s="272"/>
      <c r="AC211" s="272"/>
      <c r="AD211" s="272"/>
      <c r="AE211" s="272"/>
      <c r="AF211" s="272"/>
      <c r="AG211" s="272"/>
      <c r="AH211" s="272"/>
      <c r="AI211" s="272"/>
      <c r="AJ211" s="272"/>
      <c r="AK211" s="272"/>
      <c r="AL211" s="272"/>
      <c r="AM211" s="272"/>
      <c r="AN211" s="272"/>
      <c r="AO211" s="272"/>
      <c r="AP211" s="272"/>
      <c r="AQ211" s="272"/>
      <c r="AR211" s="272"/>
      <c r="AS211" s="272"/>
      <c r="AT211" s="272"/>
      <c r="AU211" s="272"/>
      <c r="AV211" s="272"/>
      <c r="AW211" s="272"/>
      <c r="AX211" s="272"/>
      <c r="AY211" s="272"/>
      <c r="AZ211" s="272"/>
      <c r="BA211" s="272"/>
      <c r="BB211" s="272"/>
      <c r="BC211" s="272"/>
      <c r="BD211" s="272"/>
      <c r="BE211" s="272"/>
      <c r="BF211" s="272"/>
      <c r="BG211" s="272"/>
      <c r="BH211" s="272"/>
      <c r="BI211" s="272"/>
      <c r="BJ211" s="272"/>
      <c r="BK211" s="272"/>
      <c r="BL211" s="272"/>
      <c r="BM211" s="272"/>
      <c r="BN211" s="272"/>
      <c r="BO211" s="272"/>
      <c r="BP211" s="272"/>
      <c r="BQ211" s="272"/>
      <c r="BR211" s="272"/>
      <c r="BS211" s="272"/>
      <c r="BT211" s="272"/>
      <c r="BU211" s="272"/>
      <c r="BV211" s="272"/>
      <c r="BW211" s="272"/>
      <c r="BX211" s="272"/>
      <c r="BY211" s="272"/>
      <c r="BZ211" s="272"/>
      <c r="CA211" s="272"/>
      <c r="CB211" s="272"/>
      <c r="CC211" s="272"/>
      <c r="CD211" s="272"/>
      <c r="CE211" s="272"/>
      <c r="CF211" s="272"/>
      <c r="CG211" s="272"/>
      <c r="CH211" s="272"/>
      <c r="CI211" s="272"/>
      <c r="CJ211" s="272"/>
      <c r="CK211" s="272"/>
      <c r="CL211" s="272"/>
      <c r="CM211" s="272"/>
      <c r="CN211" s="272"/>
      <c r="CO211" s="272"/>
      <c r="CP211" s="272"/>
      <c r="CQ211" s="272"/>
      <c r="CR211" s="272"/>
      <c r="CS211" s="272"/>
      <c r="CT211" s="272"/>
      <c r="CU211" s="272"/>
      <c r="CV211" s="272"/>
      <c r="CW211" s="272"/>
      <c r="CX211" s="272"/>
      <c r="CY211" s="272"/>
      <c r="CZ211" s="272"/>
      <c r="DA211" s="272"/>
      <c r="DB211" s="272"/>
      <c r="DC211" s="272"/>
      <c r="DD211" s="272"/>
      <c r="DE211" s="272"/>
      <c r="DF211" s="272"/>
      <c r="DG211" s="272"/>
      <c r="DH211" s="272"/>
      <c r="DI211" s="272"/>
      <c r="DJ211" s="272"/>
      <c r="DK211" s="272"/>
      <c r="DL211" s="272"/>
      <c r="DM211" s="272"/>
      <c r="DN211" s="272"/>
      <c r="DO211" s="272"/>
      <c r="DP211" s="272"/>
      <c r="DQ211" s="272"/>
      <c r="DR211" s="272"/>
      <c r="DS211" s="272"/>
      <c r="DT211" s="272"/>
      <c r="DU211" s="272"/>
      <c r="DV211" s="272"/>
      <c r="DW211" s="272"/>
      <c r="DX211" s="272"/>
      <c r="DY211" s="272"/>
      <c r="DZ211" s="272"/>
      <c r="EA211" s="272"/>
      <c r="EB211" s="272"/>
      <c r="EC211" s="272"/>
      <c r="ED211" s="272"/>
      <c r="EE211" s="272"/>
      <c r="EF211" s="272"/>
      <c r="EG211" s="272"/>
      <c r="EH211" s="272"/>
      <c r="EI211" s="272"/>
      <c r="EJ211" s="272"/>
      <c r="EK211" s="272"/>
      <c r="EL211" s="272"/>
      <c r="EM211" s="272"/>
      <c r="EN211" s="272"/>
      <c r="EO211" s="272"/>
      <c r="EP211" s="272"/>
      <c r="EQ211" s="272"/>
      <c r="ER211" s="272"/>
      <c r="ES211" s="272"/>
      <c r="ET211" s="272"/>
      <c r="EU211" s="272"/>
      <c r="EV211" s="272"/>
      <c r="EW211" s="272"/>
      <c r="EX211" s="272"/>
      <c r="EY211" s="272"/>
      <c r="EZ211" s="272"/>
      <c r="FA211" s="272"/>
      <c r="FB211" s="272"/>
      <c r="FC211" s="272"/>
      <c r="FD211" s="272"/>
      <c r="FE211" s="272"/>
      <c r="FF211" s="272"/>
      <c r="FG211" s="272"/>
      <c r="FH211" s="272"/>
      <c r="FI211" s="272"/>
      <c r="FJ211" s="272"/>
      <c r="FK211" s="272"/>
      <c r="FL211" s="272"/>
      <c r="FM211" s="272"/>
      <c r="FN211" s="272"/>
      <c r="FO211" s="272"/>
      <c r="FP211" s="272"/>
      <c r="FQ211" s="272"/>
      <c r="FR211" s="272"/>
      <c r="FS211" s="272"/>
      <c r="FT211" s="272"/>
      <c r="FU211" s="272"/>
      <c r="FV211" s="272"/>
      <c r="FW211" s="272"/>
      <c r="FX211" s="272"/>
      <c r="FY211" s="272"/>
      <c r="FZ211" s="272"/>
      <c r="GA211" s="272"/>
      <c r="GB211" s="272"/>
      <c r="GC211" s="272"/>
      <c r="GD211" s="272"/>
      <c r="GE211" s="272"/>
      <c r="GF211" s="272"/>
      <c r="GG211" s="272"/>
      <c r="GH211" s="272"/>
      <c r="GI211" s="272"/>
      <c r="GJ211" s="272"/>
      <c r="GK211" s="272"/>
      <c r="GL211" s="272"/>
      <c r="GM211" s="272"/>
      <c r="GN211" s="272"/>
      <c r="GO211" s="272"/>
      <c r="GP211" s="272"/>
      <c r="GQ211" s="272"/>
      <c r="GR211" s="272"/>
      <c r="GS211" s="272"/>
      <c r="GT211" s="272"/>
      <c r="GU211" s="272"/>
      <c r="GV211" s="272"/>
      <c r="GW211" s="272"/>
      <c r="GX211" s="272"/>
      <c r="GY211" s="272"/>
      <c r="GZ211" s="272"/>
      <c r="HA211" s="272"/>
      <c r="HB211" s="272"/>
      <c r="HC211" s="272"/>
      <c r="HD211" s="272"/>
      <c r="HE211" s="272"/>
      <c r="HF211" s="272"/>
      <c r="HG211" s="272"/>
      <c r="HH211" s="272"/>
      <c r="HI211" s="272"/>
      <c r="HJ211" s="272"/>
      <c r="HK211" s="272"/>
      <c r="HL211" s="272"/>
      <c r="HM211" s="272"/>
      <c r="HN211" s="272"/>
      <c r="HO211" s="272"/>
      <c r="HP211" s="272"/>
      <c r="HQ211" s="272"/>
      <c r="HR211" s="272"/>
      <c r="HS211" s="272"/>
      <c r="HT211" s="272"/>
      <c r="HU211" s="272"/>
      <c r="HV211" s="272"/>
      <c r="HW211" s="272"/>
      <c r="HX211" s="272"/>
      <c r="HY211" s="272"/>
      <c r="HZ211" s="272"/>
      <c r="IA211" s="272"/>
      <c r="IB211" s="272"/>
      <c r="IC211" s="272"/>
      <c r="ID211" s="272"/>
      <c r="IE211" s="272"/>
      <c r="IF211" s="272"/>
      <c r="IG211" s="272"/>
      <c r="IH211" s="272"/>
      <c r="II211" s="272"/>
      <c r="IJ211" s="272"/>
      <c r="IK211" s="272"/>
      <c r="IL211" s="272"/>
      <c r="IM211" s="272"/>
      <c r="IN211" s="272"/>
      <c r="IO211" s="272"/>
      <c r="IP211" s="272"/>
      <c r="IQ211" s="272"/>
      <c r="IR211" s="272"/>
      <c r="IS211" s="272"/>
      <c r="IT211" s="272"/>
      <c r="IU211" s="272"/>
      <c r="IV211" s="272"/>
      <c r="IW211" s="272"/>
      <c r="IX211" s="272"/>
      <c r="IY211" s="272"/>
      <c r="IZ211" s="272"/>
      <c r="JA211" s="272"/>
      <c r="JB211" s="272"/>
      <c r="JC211" s="272"/>
      <c r="JD211" s="272"/>
      <c r="JE211" s="272"/>
      <c r="JF211" s="272"/>
      <c r="JG211" s="272"/>
      <c r="JH211" s="272"/>
      <c r="JI211" s="272"/>
      <c r="JJ211" s="272"/>
      <c r="JK211" s="272"/>
      <c r="JL211" s="272"/>
      <c r="JM211" s="272"/>
      <c r="JN211" s="272"/>
      <c r="JO211" s="272"/>
      <c r="JP211" s="272"/>
      <c r="JQ211" s="272"/>
      <c r="JR211" s="272"/>
      <c r="JS211" s="272"/>
      <c r="JT211" s="272"/>
      <c r="JU211" s="272"/>
      <c r="JV211" s="272"/>
      <c r="JW211" s="272"/>
      <c r="JX211" s="272"/>
      <c r="JY211" s="272"/>
      <c r="JZ211" s="272"/>
      <c r="KA211" s="272"/>
      <c r="KB211" s="272"/>
      <c r="KC211" s="272"/>
      <c r="KD211" s="272"/>
      <c r="KE211" s="272"/>
      <c r="KF211" s="272"/>
      <c r="KG211" s="272"/>
      <c r="KH211" s="272"/>
      <c r="KI211" s="272"/>
      <c r="KJ211" s="272"/>
      <c r="KK211" s="272"/>
      <c r="KL211" s="272"/>
      <c r="KM211" s="272"/>
      <c r="KN211" s="272"/>
      <c r="KO211" s="272"/>
      <c r="KP211" s="272"/>
      <c r="KQ211" s="272"/>
      <c r="KR211" s="272"/>
      <c r="KS211" s="272"/>
      <c r="KT211" s="272"/>
      <c r="KU211" s="272"/>
      <c r="KV211" s="272"/>
      <c r="KW211" s="272"/>
      <c r="KX211" s="272"/>
      <c r="KY211" s="272"/>
      <c r="KZ211" s="272"/>
      <c r="LA211" s="272"/>
      <c r="LB211" s="272"/>
      <c r="LC211" s="272"/>
      <c r="LD211" s="272"/>
      <c r="LE211" s="272"/>
      <c r="LF211" s="272"/>
      <c r="LG211" s="272"/>
      <c r="LH211" s="272"/>
      <c r="LI211" s="272"/>
      <c r="LJ211" s="272"/>
      <c r="LK211" s="272"/>
      <c r="LL211" s="272"/>
      <c r="LM211" s="272"/>
      <c r="LN211" s="272"/>
      <c r="LO211" s="272"/>
      <c r="LP211" s="272"/>
      <c r="LQ211" s="272"/>
      <c r="LR211" s="272"/>
      <c r="LS211" s="272"/>
      <c r="LT211" s="272"/>
      <c r="LU211" s="272"/>
      <c r="LV211" s="272"/>
      <c r="LW211" s="272"/>
      <c r="LX211" s="272"/>
      <c r="LY211" s="272"/>
      <c r="LZ211" s="272"/>
      <c r="MA211" s="272"/>
      <c r="MB211" s="272"/>
      <c r="MC211" s="272"/>
      <c r="MD211" s="272"/>
      <c r="ME211" s="272"/>
      <c r="MF211" s="272"/>
      <c r="MG211" s="272"/>
      <c r="MH211" s="272"/>
      <c r="MI211" s="272"/>
      <c r="MJ211" s="272"/>
      <c r="MK211" s="272"/>
      <c r="ML211" s="272"/>
      <c r="MM211" s="272"/>
      <c r="MN211" s="272"/>
      <c r="MO211" s="272"/>
      <c r="MP211" s="272"/>
      <c r="MQ211" s="272"/>
      <c r="MR211" s="272"/>
      <c r="MS211" s="272"/>
      <c r="MT211" s="272"/>
      <c r="MU211" s="272"/>
      <c r="MV211" s="272"/>
      <c r="MW211" s="272"/>
      <c r="MX211" s="272"/>
      <c r="MY211" s="272"/>
      <c r="MZ211" s="272"/>
      <c r="NA211" s="272"/>
      <c r="NB211" s="272"/>
      <c r="NC211" s="272"/>
      <c r="ND211" s="272"/>
      <c r="NE211" s="272"/>
      <c r="NF211" s="272"/>
      <c r="NG211" s="272"/>
      <c r="NH211" s="272"/>
      <c r="NI211" s="272"/>
      <c r="NJ211" s="272"/>
      <c r="NK211" s="272"/>
      <c r="NL211" s="272"/>
      <c r="NM211" s="272"/>
      <c r="NN211" s="272"/>
      <c r="NO211" s="272"/>
      <c r="NP211" s="272"/>
      <c r="NQ211" s="272"/>
      <c r="NR211" s="272"/>
      <c r="NS211" s="272"/>
      <c r="NT211" s="272"/>
      <c r="NU211" s="272"/>
      <c r="NV211" s="272"/>
      <c r="NW211" s="272"/>
      <c r="NX211" s="272"/>
      <c r="NY211" s="272"/>
      <c r="NZ211" s="272"/>
      <c r="OA211" s="272"/>
      <c r="OB211" s="272"/>
      <c r="OC211" s="272"/>
      <c r="OD211" s="272"/>
      <c r="OE211" s="272"/>
      <c r="OF211" s="272"/>
      <c r="OG211" s="272"/>
      <c r="OH211" s="272"/>
      <c r="OI211" s="272"/>
      <c r="OJ211" s="272"/>
      <c r="OK211" s="272"/>
      <c r="OL211" s="272"/>
      <c r="OM211" s="272"/>
      <c r="ON211" s="272"/>
      <c r="OO211" s="272"/>
      <c r="OP211" s="272"/>
      <c r="OQ211" s="272"/>
      <c r="OR211" s="272"/>
      <c r="OS211" s="272"/>
      <c r="OT211" s="272"/>
      <c r="OU211" s="272"/>
      <c r="OV211" s="272"/>
      <c r="OW211" s="272"/>
      <c r="OX211" s="272"/>
      <c r="OY211" s="272"/>
      <c r="OZ211" s="272"/>
      <c r="PA211" s="272"/>
      <c r="PB211" s="272"/>
      <c r="PC211" s="272"/>
      <c r="PD211" s="272"/>
      <c r="PE211" s="272"/>
      <c r="PF211" s="272"/>
      <c r="PG211" s="272"/>
      <c r="PH211" s="272"/>
      <c r="PI211" s="272"/>
      <c r="PJ211" s="272"/>
      <c r="PK211" s="272"/>
      <c r="PL211" s="272"/>
      <c r="PM211" s="272"/>
      <c r="PN211" s="272"/>
      <c r="PO211" s="272"/>
      <c r="PP211" s="272"/>
      <c r="PQ211" s="272"/>
      <c r="PR211" s="272"/>
      <c r="PS211" s="272"/>
      <c r="PT211" s="272"/>
      <c r="PU211" s="272"/>
      <c r="PV211" s="272"/>
      <c r="PW211" s="272"/>
      <c r="PX211" s="272"/>
      <c r="PY211" s="272"/>
      <c r="PZ211" s="272"/>
      <c r="QA211" s="272"/>
      <c r="QB211" s="272"/>
      <c r="QC211" s="272"/>
      <c r="QD211" s="272"/>
      <c r="QE211" s="272"/>
      <c r="QF211" s="272"/>
      <c r="QG211" s="272"/>
      <c r="QH211" s="272"/>
      <c r="QI211" s="272"/>
      <c r="QJ211" s="272"/>
      <c r="QK211" s="272"/>
      <c r="QL211" s="272"/>
      <c r="QM211" s="272"/>
      <c r="QN211" s="272"/>
      <c r="QO211" s="272"/>
      <c r="QP211" s="272"/>
      <c r="QQ211" s="272"/>
      <c r="QR211" s="272"/>
      <c r="QS211" s="272"/>
      <c r="QT211" s="272"/>
      <c r="QU211" s="272"/>
      <c r="QV211" s="272"/>
      <c r="QW211" s="272"/>
      <c r="QX211" s="272"/>
      <c r="QY211" s="272"/>
      <c r="QZ211" s="272"/>
      <c r="RA211" s="272"/>
      <c r="RB211" s="272"/>
      <c r="RC211" s="272"/>
      <c r="RD211" s="272"/>
      <c r="RE211" s="272"/>
      <c r="RF211" s="272"/>
      <c r="RG211" s="272"/>
      <c r="RH211" s="272"/>
      <c r="RI211" s="272"/>
      <c r="RJ211" s="272"/>
      <c r="RK211" s="272"/>
      <c r="RL211" s="272"/>
      <c r="RM211" s="272"/>
      <c r="RN211" s="272"/>
      <c r="RO211" s="272"/>
      <c r="RP211" s="272"/>
      <c r="RQ211" s="272"/>
      <c r="RR211" s="272"/>
      <c r="RS211" s="272"/>
      <c r="RT211" s="272"/>
      <c r="RU211" s="272"/>
      <c r="RV211" s="272"/>
      <c r="RW211" s="272"/>
      <c r="RX211" s="272"/>
      <c r="RY211" s="272"/>
      <c r="RZ211" s="272"/>
      <c r="SA211" s="272"/>
      <c r="SB211" s="272"/>
      <c r="SC211" s="272"/>
      <c r="SD211" s="272"/>
      <c r="SE211" s="272"/>
      <c r="SF211" s="272"/>
      <c r="SG211" s="272"/>
      <c r="SH211" s="272"/>
      <c r="SI211" s="272"/>
      <c r="SJ211" s="272"/>
      <c r="SK211" s="272"/>
      <c r="SL211" s="272"/>
      <c r="SM211" s="272"/>
      <c r="SN211" s="272"/>
      <c r="SO211" s="272"/>
      <c r="SP211" s="272"/>
      <c r="SQ211" s="272"/>
      <c r="SR211" s="272"/>
      <c r="SS211" s="272"/>
      <c r="ST211" s="272"/>
      <c r="SU211" s="272"/>
      <c r="SV211" s="272"/>
      <c r="SW211" s="272"/>
      <c r="SX211" s="272"/>
      <c r="SY211" s="272"/>
      <c r="SZ211" s="272"/>
      <c r="TA211" s="272"/>
      <c r="TB211" s="272"/>
      <c r="TC211" s="272"/>
      <c r="TD211" s="272"/>
      <c r="TE211" s="272"/>
      <c r="TF211" s="272"/>
      <c r="TG211" s="272"/>
      <c r="TH211" s="272"/>
      <c r="TI211" s="272"/>
      <c r="TJ211" s="272"/>
      <c r="TK211" s="272"/>
      <c r="TL211" s="272"/>
      <c r="TM211" s="272"/>
      <c r="TN211" s="272"/>
      <c r="TO211" s="272"/>
      <c r="TP211" s="272"/>
      <c r="TQ211" s="272"/>
      <c r="TR211" s="272"/>
      <c r="TS211" s="272"/>
      <c r="TT211" s="272"/>
      <c r="TU211" s="272"/>
      <c r="TV211" s="272"/>
      <c r="TW211" s="272"/>
      <c r="TX211" s="272"/>
      <c r="TY211" s="272"/>
      <c r="TZ211" s="272"/>
      <c r="UA211" s="272"/>
      <c r="UB211" s="272"/>
      <c r="UC211" s="272"/>
      <c r="UD211" s="272"/>
      <c r="UE211" s="272"/>
      <c r="UF211" s="272"/>
      <c r="UG211" s="272"/>
      <c r="UH211" s="272"/>
      <c r="UI211" s="272"/>
      <c r="UJ211" s="272"/>
      <c r="UK211" s="272"/>
      <c r="UL211" s="272"/>
      <c r="UM211" s="272"/>
      <c r="UN211" s="272"/>
      <c r="UO211" s="272"/>
      <c r="UP211" s="272"/>
      <c r="UQ211" s="272"/>
      <c r="UR211" s="272"/>
      <c r="US211" s="272"/>
      <c r="UT211" s="272"/>
      <c r="UU211" s="272"/>
      <c r="UV211" s="272"/>
      <c r="UW211" s="272"/>
      <c r="UX211" s="272"/>
      <c r="UY211" s="272"/>
      <c r="UZ211" s="272"/>
      <c r="VA211" s="272"/>
      <c r="VB211" s="272"/>
      <c r="VC211" s="272"/>
      <c r="VD211" s="272"/>
      <c r="VE211" s="272"/>
      <c r="VF211" s="272"/>
      <c r="VG211" s="272"/>
      <c r="VH211" s="272"/>
      <c r="VI211" s="272"/>
      <c r="VJ211" s="272"/>
      <c r="VK211" s="272"/>
      <c r="VL211" s="272"/>
      <c r="VM211" s="272"/>
      <c r="VN211" s="272"/>
      <c r="VO211" s="272"/>
      <c r="VP211" s="272"/>
      <c r="VQ211" s="272"/>
      <c r="VR211" s="272"/>
      <c r="VS211" s="272"/>
      <c r="VT211" s="272"/>
      <c r="VU211" s="272"/>
      <c r="VV211" s="272"/>
      <c r="VW211" s="272"/>
      <c r="VX211" s="272"/>
      <c r="VY211" s="272"/>
      <c r="VZ211" s="272"/>
      <c r="WA211" s="272"/>
      <c r="WB211" s="272"/>
      <c r="WC211" s="272"/>
      <c r="WD211" s="272"/>
      <c r="WE211" s="272"/>
      <c r="WF211" s="272"/>
      <c r="WG211" s="272"/>
      <c r="WH211" s="272"/>
      <c r="WI211" s="272"/>
      <c r="WJ211" s="272"/>
      <c r="WK211" s="272"/>
      <c r="WL211" s="272"/>
      <c r="WM211" s="272"/>
      <c r="WN211" s="272"/>
      <c r="WO211" s="272"/>
      <c r="WP211" s="272"/>
      <c r="WQ211" s="272"/>
      <c r="WR211" s="272"/>
      <c r="WS211" s="272"/>
      <c r="WT211" s="272"/>
      <c r="WU211" s="272"/>
      <c r="WV211" s="272"/>
      <c r="WW211" s="272"/>
      <c r="WX211" s="272"/>
      <c r="WY211" s="272"/>
      <c r="WZ211" s="272"/>
      <c r="XA211" s="272"/>
      <c r="XB211" s="272"/>
      <c r="XC211" s="272"/>
      <c r="XD211" s="272"/>
      <c r="XE211" s="272"/>
      <c r="XF211" s="272"/>
      <c r="XG211" s="272"/>
      <c r="XH211" s="272"/>
      <c r="XI211" s="272"/>
      <c r="XJ211" s="272"/>
      <c r="XK211" s="272"/>
      <c r="XL211" s="272"/>
      <c r="XM211" s="272"/>
    </row>
    <row r="212" spans="1:637" ht="27">
      <c r="A212" s="225" t="s">
        <v>367</v>
      </c>
      <c r="B212" s="226"/>
      <c r="C212" s="225" t="s">
        <v>362</v>
      </c>
      <c r="D212" s="225" t="s">
        <v>363</v>
      </c>
      <c r="E212" s="227">
        <v>40000</v>
      </c>
      <c r="F212" s="227"/>
      <c r="G212" s="225">
        <v>1</v>
      </c>
      <c r="H212" s="227"/>
      <c r="I212" s="227">
        <f>(F212*G212)</f>
        <v>0</v>
      </c>
      <c r="J212" s="273">
        <f t="shared" ref="J212:J217" si="17">(E212-I212)</f>
        <v>40000</v>
      </c>
      <c r="K212" s="225" t="s">
        <v>368</v>
      </c>
      <c r="L212" s="225"/>
    </row>
    <row r="213" spans="1:637" ht="27">
      <c r="A213" s="225" t="s">
        <v>369</v>
      </c>
      <c r="B213" s="226"/>
      <c r="C213" s="225" t="s">
        <v>362</v>
      </c>
      <c r="D213" s="225" t="s">
        <v>363</v>
      </c>
      <c r="E213" s="227">
        <v>40000</v>
      </c>
      <c r="F213" s="227"/>
      <c r="G213" s="225">
        <v>1</v>
      </c>
      <c r="H213" s="227"/>
      <c r="I213" s="227">
        <f t="shared" ref="I213:I217" si="18">(F213*G213)</f>
        <v>0</v>
      </c>
      <c r="J213" s="273">
        <f t="shared" si="17"/>
        <v>40000</v>
      </c>
      <c r="K213" s="225" t="s">
        <v>370</v>
      </c>
      <c r="L213" s="225"/>
    </row>
    <row r="214" spans="1:637" ht="27">
      <c r="A214" s="225" t="s">
        <v>371</v>
      </c>
      <c r="B214" s="226"/>
      <c r="C214" s="225" t="s">
        <v>362</v>
      </c>
      <c r="D214" s="225" t="s">
        <v>363</v>
      </c>
      <c r="E214" s="227">
        <v>40000</v>
      </c>
      <c r="F214" s="227"/>
      <c r="G214" s="225">
        <v>1</v>
      </c>
      <c r="H214" s="227"/>
      <c r="I214" s="227">
        <f t="shared" si="18"/>
        <v>0</v>
      </c>
      <c r="J214" s="273">
        <f t="shared" si="17"/>
        <v>40000</v>
      </c>
      <c r="K214" s="225" t="s">
        <v>372</v>
      </c>
      <c r="L214" s="225"/>
    </row>
    <row r="215" spans="1:637" ht="27">
      <c r="A215" s="225" t="s">
        <v>373</v>
      </c>
      <c r="B215" s="226"/>
      <c r="C215" s="225" t="s">
        <v>362</v>
      </c>
      <c r="D215" s="225" t="s">
        <v>363</v>
      </c>
      <c r="E215" s="227">
        <v>40000</v>
      </c>
      <c r="F215" s="227"/>
      <c r="G215" s="225">
        <v>1</v>
      </c>
      <c r="H215" s="227"/>
      <c r="I215" s="227">
        <f t="shared" si="18"/>
        <v>0</v>
      </c>
      <c r="J215" s="273">
        <f t="shared" si="17"/>
        <v>40000</v>
      </c>
      <c r="K215" s="225" t="s">
        <v>374</v>
      </c>
      <c r="L215" s="225"/>
    </row>
    <row r="216" spans="1:637" ht="27">
      <c r="A216" s="225" t="s">
        <v>375</v>
      </c>
      <c r="B216" s="226"/>
      <c r="C216" s="225" t="s">
        <v>362</v>
      </c>
      <c r="D216" s="225" t="s">
        <v>363</v>
      </c>
      <c r="E216" s="227">
        <v>40000</v>
      </c>
      <c r="F216" s="227"/>
      <c r="G216" s="225">
        <v>1</v>
      </c>
      <c r="H216" s="227"/>
      <c r="I216" s="227">
        <f t="shared" si="18"/>
        <v>0</v>
      </c>
      <c r="J216" s="273">
        <f t="shared" si="17"/>
        <v>40000</v>
      </c>
      <c r="K216" s="225" t="s">
        <v>376</v>
      </c>
      <c r="L216" s="225"/>
    </row>
    <row r="217" spans="1:637" ht="27">
      <c r="A217" s="225" t="s">
        <v>377</v>
      </c>
      <c r="B217" s="226"/>
      <c r="C217" s="225" t="s">
        <v>362</v>
      </c>
      <c r="D217" s="225" t="s">
        <v>363</v>
      </c>
      <c r="E217" s="227">
        <v>40000</v>
      </c>
      <c r="F217" s="227"/>
      <c r="G217" s="225">
        <v>1</v>
      </c>
      <c r="H217" s="227"/>
      <c r="I217" s="227">
        <f t="shared" si="18"/>
        <v>0</v>
      </c>
      <c r="J217" s="273">
        <f t="shared" si="17"/>
        <v>40000</v>
      </c>
      <c r="K217" s="225" t="s">
        <v>378</v>
      </c>
      <c r="L217" s="225"/>
    </row>
    <row r="218" spans="1:637" s="11" customFormat="1" ht="35.5" customHeight="1">
      <c r="A218" s="228"/>
      <c r="B218" s="229"/>
      <c r="C218" s="230"/>
      <c r="D218" s="230"/>
      <c r="E218" s="231">
        <v>600000</v>
      </c>
      <c r="F218" s="232"/>
      <c r="G218" s="230"/>
      <c r="H218" s="232"/>
      <c r="I218" s="232">
        <f>SUM(I212:I217)</f>
        <v>0</v>
      </c>
      <c r="J218" s="231">
        <f>(E210-I210)</f>
        <v>600000</v>
      </c>
      <c r="K218" s="230"/>
      <c r="L218" s="274"/>
    </row>
    <row r="219" spans="1:637" s="12" customFormat="1" ht="18.5" customHeight="1">
      <c r="A219" s="233"/>
      <c r="B219" s="234"/>
      <c r="C219" s="233"/>
      <c r="D219" s="233"/>
      <c r="E219" s="235"/>
      <c r="F219" s="235"/>
      <c r="G219" s="233"/>
      <c r="H219" s="235"/>
      <c r="I219" s="235"/>
      <c r="J219" s="275"/>
      <c r="K219" s="233"/>
      <c r="L219" s="233"/>
    </row>
    <row r="220" spans="1:637" s="12" customFormat="1" ht="66" customHeight="1">
      <c r="A220" s="196" t="s">
        <v>2</v>
      </c>
      <c r="B220" s="197" t="s">
        <v>3</v>
      </c>
      <c r="C220" s="197" t="s">
        <v>4</v>
      </c>
      <c r="D220" s="197" t="s">
        <v>5</v>
      </c>
      <c r="E220" s="197" t="s">
        <v>6</v>
      </c>
      <c r="F220" s="197" t="s">
        <v>7</v>
      </c>
      <c r="G220" s="197" t="s">
        <v>8</v>
      </c>
      <c r="H220" s="197" t="s">
        <v>9</v>
      </c>
      <c r="I220" s="197" t="s">
        <v>10</v>
      </c>
      <c r="J220" s="197" t="s">
        <v>11</v>
      </c>
      <c r="K220" s="197" t="s">
        <v>12</v>
      </c>
      <c r="L220" s="213" t="s">
        <v>13</v>
      </c>
    </row>
    <row r="221" spans="1:637" ht="49.5" customHeight="1">
      <c r="A221" s="236"/>
      <c r="B221" s="236" t="s">
        <v>3</v>
      </c>
      <c r="C221" s="236"/>
      <c r="D221" s="236"/>
      <c r="E221" s="237">
        <v>409135</v>
      </c>
      <c r="F221" s="236"/>
      <c r="G221" s="236"/>
      <c r="H221" s="236"/>
      <c r="I221" s="237">
        <f>SUM(I222:I268)</f>
        <v>584100</v>
      </c>
      <c r="J221" s="237">
        <f>(E221-I221)</f>
        <v>-174965</v>
      </c>
      <c r="K221" s="236"/>
      <c r="L221" s="236"/>
      <c r="M221" s="13"/>
    </row>
    <row r="222" spans="1:637" ht="50.5" customHeight="1">
      <c r="A222" s="238">
        <v>7.1</v>
      </c>
      <c r="B222" s="239">
        <v>45966</v>
      </c>
      <c r="C222" s="238" t="s">
        <v>379</v>
      </c>
      <c r="D222" s="238" t="s">
        <v>380</v>
      </c>
      <c r="E222" s="240" t="s">
        <v>381</v>
      </c>
      <c r="F222" s="238">
        <v>2000</v>
      </c>
      <c r="G222" s="238">
        <v>1</v>
      </c>
      <c r="H222" s="238"/>
      <c r="I222" s="276">
        <f>(F222*G222)</f>
        <v>2000</v>
      </c>
      <c r="J222" s="240" t="e">
        <f t="shared" ref="J222:J269" si="19">(E222-I222)</f>
        <v>#VALUE!</v>
      </c>
      <c r="K222" s="238"/>
      <c r="L222" s="238"/>
      <c r="M222" s="13"/>
    </row>
    <row r="223" spans="1:637" ht="50.5" customHeight="1">
      <c r="A223" s="238">
        <v>7.2</v>
      </c>
      <c r="B223" s="239">
        <v>45971</v>
      </c>
      <c r="C223" s="238" t="s">
        <v>382</v>
      </c>
      <c r="D223" s="238" t="s">
        <v>383</v>
      </c>
      <c r="E223" s="240" t="s">
        <v>381</v>
      </c>
      <c r="F223" s="238">
        <v>2500</v>
      </c>
      <c r="G223" s="238">
        <v>1</v>
      </c>
      <c r="H223" s="238"/>
      <c r="I223" s="276">
        <f t="shared" ref="I223:I253" si="20">(F223*G223)</f>
        <v>2500</v>
      </c>
      <c r="J223" s="240" t="e">
        <f t="shared" si="19"/>
        <v>#VALUE!</v>
      </c>
      <c r="K223" s="238"/>
      <c r="L223" s="238"/>
      <c r="M223" s="13"/>
    </row>
    <row r="224" spans="1:637" ht="50.5" customHeight="1">
      <c r="A224" s="241"/>
      <c r="B224" s="242">
        <v>45971</v>
      </c>
      <c r="C224" s="238" t="s">
        <v>384</v>
      </c>
      <c r="D224" s="241" t="s">
        <v>385</v>
      </c>
      <c r="E224" s="240" t="s">
        <v>381</v>
      </c>
      <c r="F224" s="238">
        <v>55000</v>
      </c>
      <c r="G224" s="238">
        <v>1</v>
      </c>
      <c r="H224" s="241"/>
      <c r="I224" s="276">
        <v>55000</v>
      </c>
      <c r="J224" s="240" t="e">
        <f t="shared" si="19"/>
        <v>#VALUE!</v>
      </c>
      <c r="K224" s="241"/>
      <c r="L224" s="241"/>
      <c r="M224" s="13"/>
    </row>
    <row r="225" spans="1:13" ht="50.5" customHeight="1">
      <c r="A225" s="241">
        <v>7.3</v>
      </c>
      <c r="B225" s="242">
        <v>45974</v>
      </c>
      <c r="C225" s="238" t="s">
        <v>386</v>
      </c>
      <c r="D225" s="241" t="s">
        <v>387</v>
      </c>
      <c r="E225" s="240" t="s">
        <v>381</v>
      </c>
      <c r="F225" s="238">
        <v>7000</v>
      </c>
      <c r="G225" s="238">
        <v>1</v>
      </c>
      <c r="H225" s="241"/>
      <c r="I225" s="276">
        <f t="shared" si="20"/>
        <v>7000</v>
      </c>
      <c r="J225" s="240" t="e">
        <f t="shared" si="19"/>
        <v>#VALUE!</v>
      </c>
      <c r="K225" s="241"/>
      <c r="L225" s="241"/>
      <c r="M225" s="13"/>
    </row>
    <row r="226" spans="1:13" ht="50.5" customHeight="1">
      <c r="A226" s="241">
        <v>7.4</v>
      </c>
      <c r="B226" s="242">
        <v>45974</v>
      </c>
      <c r="C226" s="238" t="s">
        <v>388</v>
      </c>
      <c r="D226" s="241" t="s">
        <v>389</v>
      </c>
      <c r="E226" s="240" t="s">
        <v>381</v>
      </c>
      <c r="F226" s="238">
        <v>7500</v>
      </c>
      <c r="G226" s="241">
        <v>3</v>
      </c>
      <c r="H226" s="241"/>
      <c r="I226" s="276">
        <f t="shared" si="20"/>
        <v>22500</v>
      </c>
      <c r="J226" s="240" t="e">
        <f t="shared" si="19"/>
        <v>#VALUE!</v>
      </c>
      <c r="K226" s="241"/>
      <c r="L226" s="241"/>
      <c r="M226" s="13"/>
    </row>
    <row r="227" spans="1:13" ht="50.5" customHeight="1">
      <c r="A227" s="241">
        <v>7.5</v>
      </c>
      <c r="B227" s="242">
        <v>45974</v>
      </c>
      <c r="C227" s="238" t="s">
        <v>390</v>
      </c>
      <c r="D227" s="241" t="s">
        <v>391</v>
      </c>
      <c r="E227" s="240" t="s">
        <v>381</v>
      </c>
      <c r="F227" s="238">
        <v>5600</v>
      </c>
      <c r="G227" s="241">
        <v>1</v>
      </c>
      <c r="H227" s="241"/>
      <c r="I227" s="276">
        <f t="shared" si="20"/>
        <v>5600</v>
      </c>
      <c r="J227" s="240" t="e">
        <f t="shared" si="19"/>
        <v>#VALUE!</v>
      </c>
      <c r="K227" s="241"/>
      <c r="L227" s="241"/>
      <c r="M227" s="13"/>
    </row>
    <row r="228" spans="1:13" ht="50.5" customHeight="1">
      <c r="A228" s="241">
        <v>7.6</v>
      </c>
      <c r="B228" s="242">
        <v>45973</v>
      </c>
      <c r="C228" s="238" t="s">
        <v>390</v>
      </c>
      <c r="D228" s="241" t="s">
        <v>392</v>
      </c>
      <c r="E228" s="240" t="s">
        <v>381</v>
      </c>
      <c r="F228" s="238">
        <v>1200</v>
      </c>
      <c r="G228" s="241">
        <v>5</v>
      </c>
      <c r="H228" s="241"/>
      <c r="I228" s="276">
        <f t="shared" si="20"/>
        <v>6000</v>
      </c>
      <c r="J228" s="240" t="e">
        <f t="shared" si="19"/>
        <v>#VALUE!</v>
      </c>
      <c r="K228" s="241"/>
      <c r="L228" s="241"/>
      <c r="M228" s="13"/>
    </row>
    <row r="229" spans="1:13" ht="50.5" customHeight="1">
      <c r="A229" s="241">
        <v>7.7</v>
      </c>
      <c r="B229" s="242">
        <v>45973</v>
      </c>
      <c r="C229" s="238" t="s">
        <v>390</v>
      </c>
      <c r="D229" s="241" t="s">
        <v>393</v>
      </c>
      <c r="E229" s="240" t="s">
        <v>381</v>
      </c>
      <c r="F229" s="238">
        <v>1200</v>
      </c>
      <c r="G229" s="241">
        <v>10</v>
      </c>
      <c r="H229" s="241"/>
      <c r="I229" s="276">
        <f t="shared" si="20"/>
        <v>12000</v>
      </c>
      <c r="J229" s="240" t="e">
        <f t="shared" si="19"/>
        <v>#VALUE!</v>
      </c>
      <c r="K229" s="241"/>
      <c r="L229" s="241"/>
      <c r="M229" s="13"/>
    </row>
    <row r="230" spans="1:13" ht="50.5" customHeight="1">
      <c r="A230" s="241">
        <v>7.8</v>
      </c>
      <c r="B230" s="242">
        <v>45973</v>
      </c>
      <c r="C230" s="238" t="s">
        <v>390</v>
      </c>
      <c r="D230" s="241" t="s">
        <v>394</v>
      </c>
      <c r="E230" s="240" t="s">
        <v>381</v>
      </c>
      <c r="F230" s="238">
        <v>1000</v>
      </c>
      <c r="G230" s="241">
        <v>3</v>
      </c>
      <c r="H230" s="241"/>
      <c r="I230" s="276">
        <f t="shared" si="20"/>
        <v>3000</v>
      </c>
      <c r="J230" s="240" t="e">
        <f t="shared" si="19"/>
        <v>#VALUE!</v>
      </c>
      <c r="K230" s="241"/>
      <c r="L230" s="241"/>
      <c r="M230" s="13"/>
    </row>
    <row r="231" spans="1:13" ht="50.5" customHeight="1">
      <c r="A231" s="241">
        <v>7.9</v>
      </c>
      <c r="B231" s="242">
        <v>45973</v>
      </c>
      <c r="C231" s="238" t="s">
        <v>390</v>
      </c>
      <c r="D231" s="241" t="s">
        <v>395</v>
      </c>
      <c r="E231" s="240" t="s">
        <v>381</v>
      </c>
      <c r="F231" s="238">
        <v>250</v>
      </c>
      <c r="G231" s="241">
        <v>25</v>
      </c>
      <c r="H231" s="241"/>
      <c r="I231" s="276">
        <f t="shared" si="20"/>
        <v>6250</v>
      </c>
      <c r="J231" s="240" t="e">
        <f t="shared" si="19"/>
        <v>#VALUE!</v>
      </c>
      <c r="K231" s="241"/>
      <c r="L231" s="241"/>
      <c r="M231" s="13"/>
    </row>
    <row r="232" spans="1:13" s="13" customFormat="1" ht="50.5" customHeight="1">
      <c r="A232" s="241">
        <v>7.1</v>
      </c>
      <c r="B232" s="242">
        <v>45973</v>
      </c>
      <c r="C232" s="238" t="s">
        <v>390</v>
      </c>
      <c r="D232" s="241" t="s">
        <v>396</v>
      </c>
      <c r="E232" s="240" t="s">
        <v>381</v>
      </c>
      <c r="F232" s="238">
        <v>6000</v>
      </c>
      <c r="G232" s="241">
        <v>1</v>
      </c>
      <c r="H232" s="241"/>
      <c r="I232" s="276">
        <f t="shared" si="20"/>
        <v>6000</v>
      </c>
      <c r="J232" s="240" t="e">
        <f t="shared" si="19"/>
        <v>#VALUE!</v>
      </c>
      <c r="K232" s="241"/>
      <c r="L232" s="241"/>
    </row>
    <row r="233" spans="1:13" ht="50.5" customHeight="1">
      <c r="A233" s="241">
        <v>7.11</v>
      </c>
      <c r="B233" s="242">
        <v>45974</v>
      </c>
      <c r="C233" s="238" t="s">
        <v>390</v>
      </c>
      <c r="D233" s="241" t="s">
        <v>397</v>
      </c>
      <c r="E233" s="240" t="s">
        <v>381</v>
      </c>
      <c r="F233" s="238">
        <v>3000</v>
      </c>
      <c r="G233" s="241">
        <v>1</v>
      </c>
      <c r="H233" s="241"/>
      <c r="I233" s="276">
        <f t="shared" si="20"/>
        <v>3000</v>
      </c>
      <c r="J233" s="240" t="e">
        <f t="shared" si="19"/>
        <v>#VALUE!</v>
      </c>
      <c r="K233" s="241"/>
      <c r="L233" s="241"/>
      <c r="M233" s="13"/>
    </row>
    <row r="234" spans="1:13" ht="50.5" customHeight="1">
      <c r="A234" s="241"/>
      <c r="B234" s="242">
        <v>45975</v>
      </c>
      <c r="C234" s="238" t="s">
        <v>390</v>
      </c>
      <c r="D234" s="241" t="s">
        <v>398</v>
      </c>
      <c r="E234" s="240" t="s">
        <v>381</v>
      </c>
      <c r="F234" s="238">
        <v>3000</v>
      </c>
      <c r="G234" s="241">
        <v>1</v>
      </c>
      <c r="H234" s="241"/>
      <c r="I234" s="276">
        <f t="shared" si="20"/>
        <v>3000</v>
      </c>
      <c r="J234" s="240" t="e">
        <f t="shared" si="19"/>
        <v>#VALUE!</v>
      </c>
      <c r="K234" s="241"/>
      <c r="L234" s="241"/>
      <c r="M234" s="13"/>
    </row>
    <row r="235" spans="1:13" ht="50.5" customHeight="1">
      <c r="A235" s="241">
        <v>7.12</v>
      </c>
      <c r="B235" s="242">
        <v>45975</v>
      </c>
      <c r="C235" s="238" t="s">
        <v>390</v>
      </c>
      <c r="D235" s="241" t="s">
        <v>399</v>
      </c>
      <c r="E235" s="240" t="s">
        <v>381</v>
      </c>
      <c r="F235" s="238">
        <v>8300</v>
      </c>
      <c r="G235" s="241">
        <v>1</v>
      </c>
      <c r="H235" s="241"/>
      <c r="I235" s="276">
        <f t="shared" si="20"/>
        <v>8300</v>
      </c>
      <c r="J235" s="240" t="e">
        <f t="shared" si="19"/>
        <v>#VALUE!</v>
      </c>
      <c r="K235" s="241"/>
      <c r="L235" s="241"/>
      <c r="M235" s="13"/>
    </row>
    <row r="236" spans="1:13" ht="50.5" customHeight="1">
      <c r="A236" s="241"/>
      <c r="B236" s="242">
        <v>45976</v>
      </c>
      <c r="C236" s="238" t="s">
        <v>390</v>
      </c>
      <c r="D236" s="241" t="s">
        <v>400</v>
      </c>
      <c r="E236" s="240" t="s">
        <v>381</v>
      </c>
      <c r="F236" s="238">
        <v>14500</v>
      </c>
      <c r="G236" s="241">
        <v>1</v>
      </c>
      <c r="H236" s="241"/>
      <c r="I236" s="276">
        <f t="shared" si="20"/>
        <v>14500</v>
      </c>
      <c r="J236" s="240" t="e">
        <f t="shared" si="19"/>
        <v>#VALUE!</v>
      </c>
      <c r="K236" s="241"/>
      <c r="L236" s="241"/>
      <c r="M236" s="13"/>
    </row>
    <row r="237" spans="1:13" ht="50.5" customHeight="1">
      <c r="A237" s="241">
        <v>7.13</v>
      </c>
      <c r="B237" s="242">
        <v>45976</v>
      </c>
      <c r="C237" s="238" t="s">
        <v>390</v>
      </c>
      <c r="D237" s="241" t="s">
        <v>401</v>
      </c>
      <c r="E237" s="240" t="s">
        <v>381</v>
      </c>
      <c r="F237" s="238">
        <v>3200</v>
      </c>
      <c r="G237" s="241">
        <v>1</v>
      </c>
      <c r="H237" s="241"/>
      <c r="I237" s="276">
        <f t="shared" si="20"/>
        <v>3200</v>
      </c>
      <c r="J237" s="240" t="e">
        <f t="shared" si="19"/>
        <v>#VALUE!</v>
      </c>
      <c r="K237" s="241"/>
      <c r="L237" s="241"/>
      <c r="M237" s="13"/>
    </row>
    <row r="238" spans="1:13" ht="50.5" customHeight="1">
      <c r="A238" s="241">
        <v>7.14</v>
      </c>
      <c r="B238" s="242">
        <v>45978</v>
      </c>
      <c r="C238" s="238" t="s">
        <v>402</v>
      </c>
      <c r="D238" s="241" t="s">
        <v>403</v>
      </c>
      <c r="E238" s="240" t="s">
        <v>381</v>
      </c>
      <c r="F238" s="238">
        <f>(2000+1500+1500)</f>
        <v>5000</v>
      </c>
      <c r="G238" s="241">
        <v>1</v>
      </c>
      <c r="H238" s="241"/>
      <c r="I238" s="276">
        <f t="shared" si="20"/>
        <v>5000</v>
      </c>
      <c r="J238" s="240" t="e">
        <f t="shared" si="19"/>
        <v>#VALUE!</v>
      </c>
      <c r="K238" s="241"/>
      <c r="L238" s="241"/>
      <c r="M238" s="13"/>
    </row>
    <row r="239" spans="1:13" ht="50.5" customHeight="1">
      <c r="A239" s="241">
        <v>7.15</v>
      </c>
      <c r="B239" s="242">
        <v>45978</v>
      </c>
      <c r="C239" s="238" t="s">
        <v>404</v>
      </c>
      <c r="D239" s="241" t="s">
        <v>405</v>
      </c>
      <c r="E239" s="240" t="s">
        <v>381</v>
      </c>
      <c r="F239" s="238">
        <v>3000</v>
      </c>
      <c r="G239" s="241">
        <v>1</v>
      </c>
      <c r="H239" s="241"/>
      <c r="I239" s="276">
        <f t="shared" si="20"/>
        <v>3000</v>
      </c>
      <c r="J239" s="240" t="e">
        <f t="shared" si="19"/>
        <v>#VALUE!</v>
      </c>
      <c r="K239" s="241"/>
      <c r="L239" s="241"/>
      <c r="M239" s="13"/>
    </row>
    <row r="240" spans="1:13" ht="50.5" customHeight="1">
      <c r="A240" s="241">
        <v>7.16</v>
      </c>
      <c r="B240" s="242">
        <v>45980</v>
      </c>
      <c r="C240" s="238" t="s">
        <v>388</v>
      </c>
      <c r="D240" s="241" t="s">
        <v>406</v>
      </c>
      <c r="E240" s="240" t="s">
        <v>381</v>
      </c>
      <c r="F240" s="238">
        <v>4300</v>
      </c>
      <c r="G240" s="241">
        <v>2</v>
      </c>
      <c r="H240" s="241"/>
      <c r="I240" s="276">
        <f t="shared" si="20"/>
        <v>8600</v>
      </c>
      <c r="J240" s="240" t="e">
        <f t="shared" si="19"/>
        <v>#VALUE!</v>
      </c>
      <c r="K240" s="241"/>
      <c r="L240" s="241"/>
      <c r="M240" s="13"/>
    </row>
    <row r="241" spans="1:13" ht="50.5" customHeight="1">
      <c r="A241" s="241">
        <v>7.17</v>
      </c>
      <c r="B241" s="242">
        <v>45980</v>
      </c>
      <c r="C241" s="238" t="s">
        <v>384</v>
      </c>
      <c r="D241" s="241" t="s">
        <v>407</v>
      </c>
      <c r="E241" s="240" t="s">
        <v>381</v>
      </c>
      <c r="F241" s="238">
        <v>25000</v>
      </c>
      <c r="G241" s="241">
        <v>1</v>
      </c>
      <c r="H241" s="241"/>
      <c r="I241" s="276">
        <f t="shared" si="20"/>
        <v>25000</v>
      </c>
      <c r="J241" s="240" t="e">
        <f t="shared" si="19"/>
        <v>#VALUE!</v>
      </c>
      <c r="K241" s="241"/>
      <c r="L241" s="241"/>
      <c r="M241" s="13"/>
    </row>
    <row r="242" spans="1:13" ht="50.5" customHeight="1">
      <c r="A242" s="241"/>
      <c r="B242" s="242">
        <v>45980</v>
      </c>
      <c r="C242" s="238" t="s">
        <v>384</v>
      </c>
      <c r="D242" s="241" t="s">
        <v>408</v>
      </c>
      <c r="E242" s="240" t="s">
        <v>381</v>
      </c>
      <c r="F242" s="238">
        <v>4300</v>
      </c>
      <c r="G242" s="241">
        <v>2</v>
      </c>
      <c r="H242" s="241"/>
      <c r="I242" s="276">
        <f t="shared" si="20"/>
        <v>8600</v>
      </c>
      <c r="J242" s="240" t="e">
        <f t="shared" si="19"/>
        <v>#VALUE!</v>
      </c>
      <c r="K242" s="241"/>
      <c r="L242" s="241"/>
      <c r="M242" s="13"/>
    </row>
    <row r="243" spans="1:13" ht="50.5" customHeight="1">
      <c r="A243" s="241">
        <v>7.18</v>
      </c>
      <c r="B243" s="242">
        <v>45981</v>
      </c>
      <c r="C243" s="241" t="s">
        <v>388</v>
      </c>
      <c r="D243" s="241" t="s">
        <v>409</v>
      </c>
      <c r="E243" s="240" t="s">
        <v>381</v>
      </c>
      <c r="F243" s="238">
        <v>4500</v>
      </c>
      <c r="G243" s="241">
        <v>5</v>
      </c>
      <c r="H243" s="241"/>
      <c r="I243" s="276">
        <f t="shared" si="20"/>
        <v>22500</v>
      </c>
      <c r="J243" s="240" t="e">
        <f t="shared" si="19"/>
        <v>#VALUE!</v>
      </c>
      <c r="K243" s="241"/>
      <c r="L243" s="241"/>
      <c r="M243" s="13"/>
    </row>
    <row r="244" spans="1:13" ht="50.5" customHeight="1">
      <c r="A244" s="241">
        <v>7.19</v>
      </c>
      <c r="B244" s="242">
        <v>45981</v>
      </c>
      <c r="C244" s="241" t="s">
        <v>410</v>
      </c>
      <c r="D244" s="241" t="s">
        <v>411</v>
      </c>
      <c r="E244" s="240" t="s">
        <v>381</v>
      </c>
      <c r="F244" s="238">
        <v>1300</v>
      </c>
      <c r="G244" s="241">
        <v>1</v>
      </c>
      <c r="H244" s="241"/>
      <c r="I244" s="276">
        <f t="shared" si="20"/>
        <v>1300</v>
      </c>
      <c r="J244" s="240" t="e">
        <f t="shared" si="19"/>
        <v>#VALUE!</v>
      </c>
      <c r="K244" s="241"/>
      <c r="L244" s="241"/>
      <c r="M244" s="13"/>
    </row>
    <row r="245" spans="1:13" ht="50.5" customHeight="1">
      <c r="A245" s="241">
        <v>7.2</v>
      </c>
      <c r="B245" s="242">
        <v>45982</v>
      </c>
      <c r="C245" s="241" t="s">
        <v>390</v>
      </c>
      <c r="D245" s="241" t="s">
        <v>412</v>
      </c>
      <c r="E245" s="240" t="s">
        <v>381</v>
      </c>
      <c r="F245" s="238">
        <v>400</v>
      </c>
      <c r="G245" s="241">
        <v>1</v>
      </c>
      <c r="H245" s="241"/>
      <c r="I245" s="276">
        <f t="shared" si="20"/>
        <v>400</v>
      </c>
      <c r="J245" s="240" t="e">
        <f t="shared" si="19"/>
        <v>#VALUE!</v>
      </c>
      <c r="K245" s="241"/>
      <c r="L245" s="241"/>
      <c r="M245" s="13"/>
    </row>
    <row r="246" spans="1:13" ht="50.5" customHeight="1">
      <c r="A246" s="241">
        <v>7.21</v>
      </c>
      <c r="B246" s="242">
        <v>45985</v>
      </c>
      <c r="C246" s="241" t="s">
        <v>390</v>
      </c>
      <c r="D246" s="241" t="s">
        <v>412</v>
      </c>
      <c r="E246" s="240" t="s">
        <v>381</v>
      </c>
      <c r="F246" s="238">
        <v>400</v>
      </c>
      <c r="G246" s="241">
        <v>1</v>
      </c>
      <c r="H246" s="241"/>
      <c r="I246" s="276">
        <f t="shared" si="20"/>
        <v>400</v>
      </c>
      <c r="J246" s="240" t="e">
        <f t="shared" si="19"/>
        <v>#VALUE!</v>
      </c>
      <c r="K246" s="241"/>
      <c r="L246" s="241"/>
      <c r="M246" s="13"/>
    </row>
    <row r="247" spans="1:13" ht="50.5" customHeight="1">
      <c r="A247" s="241">
        <v>7.22</v>
      </c>
      <c r="B247" s="242">
        <v>45987</v>
      </c>
      <c r="C247" s="241" t="s">
        <v>390</v>
      </c>
      <c r="D247" s="241" t="s">
        <v>413</v>
      </c>
      <c r="E247" s="240" t="s">
        <v>381</v>
      </c>
      <c r="F247" s="238">
        <v>5000</v>
      </c>
      <c r="G247" s="241">
        <v>1</v>
      </c>
      <c r="H247" s="241"/>
      <c r="I247" s="276">
        <f t="shared" si="20"/>
        <v>5000</v>
      </c>
      <c r="J247" s="240" t="e">
        <f t="shared" si="19"/>
        <v>#VALUE!</v>
      </c>
      <c r="K247" s="241"/>
      <c r="L247" s="241"/>
      <c r="M247" s="13"/>
    </row>
    <row r="248" spans="1:13" ht="50.5" customHeight="1">
      <c r="A248" s="241">
        <v>7.23</v>
      </c>
      <c r="B248" s="242">
        <v>45988</v>
      </c>
      <c r="C248" s="241" t="s">
        <v>390</v>
      </c>
      <c r="D248" s="241" t="s">
        <v>414</v>
      </c>
      <c r="E248" s="240" t="s">
        <v>381</v>
      </c>
      <c r="F248" s="238">
        <v>3000</v>
      </c>
      <c r="G248" s="241">
        <v>1</v>
      </c>
      <c r="H248" s="241"/>
      <c r="I248" s="276">
        <f t="shared" si="20"/>
        <v>3000</v>
      </c>
      <c r="J248" s="240" t="e">
        <f t="shared" si="19"/>
        <v>#VALUE!</v>
      </c>
      <c r="K248" s="241"/>
      <c r="L248" s="241"/>
      <c r="M248" s="13"/>
    </row>
    <row r="249" spans="1:13" ht="50.5" customHeight="1">
      <c r="A249" s="241">
        <v>7.24</v>
      </c>
      <c r="B249" s="242">
        <v>45988</v>
      </c>
      <c r="C249" s="241" t="s">
        <v>390</v>
      </c>
      <c r="D249" s="241" t="s">
        <v>415</v>
      </c>
      <c r="E249" s="240" t="s">
        <v>381</v>
      </c>
      <c r="F249" s="238">
        <v>20000</v>
      </c>
      <c r="G249" s="241">
        <v>1</v>
      </c>
      <c r="H249" s="241"/>
      <c r="I249" s="276">
        <f t="shared" si="20"/>
        <v>20000</v>
      </c>
      <c r="J249" s="240" t="e">
        <f t="shared" si="19"/>
        <v>#VALUE!</v>
      </c>
      <c r="K249" s="241"/>
      <c r="L249" s="241"/>
      <c r="M249" s="13"/>
    </row>
    <row r="250" spans="1:13" ht="50.5" customHeight="1">
      <c r="A250" s="241">
        <v>7.25</v>
      </c>
      <c r="B250" s="242">
        <v>45989</v>
      </c>
      <c r="C250" s="241" t="s">
        <v>390</v>
      </c>
      <c r="D250" s="241" t="s">
        <v>416</v>
      </c>
      <c r="E250" s="240" t="s">
        <v>381</v>
      </c>
      <c r="F250" s="238">
        <v>1500</v>
      </c>
      <c r="G250" s="241">
        <v>5</v>
      </c>
      <c r="H250" s="241"/>
      <c r="I250" s="276">
        <f t="shared" si="20"/>
        <v>7500</v>
      </c>
      <c r="J250" s="240" t="e">
        <f t="shared" si="19"/>
        <v>#VALUE!</v>
      </c>
      <c r="K250" s="241"/>
      <c r="L250" s="241"/>
      <c r="M250" s="13"/>
    </row>
    <row r="251" spans="1:13" ht="50.5" customHeight="1">
      <c r="A251" s="241">
        <v>7.26</v>
      </c>
      <c r="B251" s="242">
        <v>45990</v>
      </c>
      <c r="C251" s="241" t="s">
        <v>390</v>
      </c>
      <c r="D251" s="241" t="s">
        <v>417</v>
      </c>
      <c r="E251" s="240" t="s">
        <v>381</v>
      </c>
      <c r="F251" s="238">
        <v>15000</v>
      </c>
      <c r="G251" s="241">
        <v>1</v>
      </c>
      <c r="H251" s="241"/>
      <c r="I251" s="276">
        <f t="shared" si="20"/>
        <v>15000</v>
      </c>
      <c r="J251" s="240" t="e">
        <f t="shared" si="19"/>
        <v>#VALUE!</v>
      </c>
      <c r="K251" s="241"/>
      <c r="L251" s="241"/>
      <c r="M251" s="13"/>
    </row>
    <row r="252" spans="1:13" ht="50.5" customHeight="1">
      <c r="A252" s="241">
        <v>7.27</v>
      </c>
      <c r="B252" s="242">
        <v>45993</v>
      </c>
      <c r="C252" s="241" t="s">
        <v>390</v>
      </c>
      <c r="D252" s="241" t="s">
        <v>418</v>
      </c>
      <c r="E252" s="240" t="s">
        <v>381</v>
      </c>
      <c r="F252" s="238">
        <v>16800</v>
      </c>
      <c r="G252" s="241">
        <v>3</v>
      </c>
      <c r="H252" s="241"/>
      <c r="I252" s="276">
        <f t="shared" si="20"/>
        <v>50400</v>
      </c>
      <c r="J252" s="240" t="e">
        <f t="shared" si="19"/>
        <v>#VALUE!</v>
      </c>
      <c r="K252" s="241"/>
      <c r="L252" s="241"/>
      <c r="M252" s="13"/>
    </row>
    <row r="253" spans="1:13" ht="50.5" customHeight="1">
      <c r="A253" s="241">
        <v>7.28</v>
      </c>
      <c r="B253" s="242">
        <v>45993</v>
      </c>
      <c r="C253" s="241" t="s">
        <v>390</v>
      </c>
      <c r="D253" s="241" t="s">
        <v>419</v>
      </c>
      <c r="E253" s="240" t="s">
        <v>381</v>
      </c>
      <c r="F253" s="238">
        <v>19300</v>
      </c>
      <c r="G253" s="241">
        <v>1</v>
      </c>
      <c r="H253" s="241"/>
      <c r="I253" s="276">
        <f t="shared" si="20"/>
        <v>19300</v>
      </c>
      <c r="J253" s="240" t="e">
        <f t="shared" si="19"/>
        <v>#VALUE!</v>
      </c>
      <c r="K253" s="241"/>
      <c r="L253" s="241"/>
      <c r="M253" s="13"/>
    </row>
    <row r="254" spans="1:13" ht="50.5" customHeight="1">
      <c r="A254" s="241">
        <v>7.29</v>
      </c>
      <c r="B254" s="242">
        <v>45993</v>
      </c>
      <c r="C254" s="241" t="s">
        <v>390</v>
      </c>
      <c r="D254" s="241" t="s">
        <v>420</v>
      </c>
      <c r="E254" s="240" t="s">
        <v>381</v>
      </c>
      <c r="F254" s="238">
        <v>2500</v>
      </c>
      <c r="G254" s="241">
        <v>8</v>
      </c>
      <c r="H254" s="241"/>
      <c r="I254" s="276">
        <f t="shared" ref="I254:I268" si="21">(F254*G254)</f>
        <v>20000</v>
      </c>
      <c r="J254" s="240" t="e">
        <f t="shared" si="19"/>
        <v>#VALUE!</v>
      </c>
      <c r="K254" s="241"/>
      <c r="L254" s="241"/>
      <c r="M254" s="13"/>
    </row>
    <row r="255" spans="1:13" ht="50.5" customHeight="1">
      <c r="A255" s="241">
        <v>7.3</v>
      </c>
      <c r="B255" s="242">
        <v>45995</v>
      </c>
      <c r="C255" s="241" t="s">
        <v>390</v>
      </c>
      <c r="D255" s="241" t="s">
        <v>421</v>
      </c>
      <c r="E255" s="240" t="s">
        <v>381</v>
      </c>
      <c r="F255" s="238">
        <v>1000</v>
      </c>
      <c r="G255" s="241">
        <v>1</v>
      </c>
      <c r="H255" s="241"/>
      <c r="I255" s="276">
        <f t="shared" si="21"/>
        <v>1000</v>
      </c>
      <c r="J255" s="240" t="e">
        <f t="shared" si="19"/>
        <v>#VALUE!</v>
      </c>
      <c r="K255" s="241"/>
      <c r="L255" s="241"/>
      <c r="M255" s="13"/>
    </row>
    <row r="256" spans="1:13" ht="50.5" customHeight="1">
      <c r="A256" s="241">
        <v>7.31</v>
      </c>
      <c r="B256" s="242">
        <v>45997</v>
      </c>
      <c r="C256" s="241" t="s">
        <v>390</v>
      </c>
      <c r="D256" s="241" t="s">
        <v>475</v>
      </c>
      <c r="E256" s="240" t="s">
        <v>381</v>
      </c>
      <c r="F256" s="238">
        <v>16000</v>
      </c>
      <c r="G256" s="241">
        <v>1</v>
      </c>
      <c r="H256" s="241"/>
      <c r="I256" s="276">
        <f t="shared" si="21"/>
        <v>16000</v>
      </c>
      <c r="J256" s="240" t="e">
        <f t="shared" si="19"/>
        <v>#VALUE!</v>
      </c>
      <c r="K256" s="241"/>
      <c r="L256" s="241"/>
      <c r="M256" s="13"/>
    </row>
    <row r="257" spans="1:13" ht="50.5" customHeight="1">
      <c r="A257" s="241">
        <v>7.32</v>
      </c>
      <c r="B257" s="242">
        <v>45999</v>
      </c>
      <c r="C257" s="241" t="s">
        <v>390</v>
      </c>
      <c r="D257" s="241" t="s">
        <v>476</v>
      </c>
      <c r="E257" s="240" t="s">
        <v>381</v>
      </c>
      <c r="F257" s="238">
        <v>16000</v>
      </c>
      <c r="G257" s="241">
        <v>1</v>
      </c>
      <c r="H257" s="241"/>
      <c r="I257" s="276">
        <f t="shared" si="21"/>
        <v>16000</v>
      </c>
      <c r="J257" s="240" t="e">
        <f t="shared" si="19"/>
        <v>#VALUE!</v>
      </c>
      <c r="K257" s="241"/>
      <c r="L257" s="241"/>
      <c r="M257" s="13"/>
    </row>
    <row r="258" spans="1:13" ht="50.5" customHeight="1">
      <c r="A258" s="241"/>
      <c r="B258" s="242">
        <v>45999</v>
      </c>
      <c r="C258" s="241" t="s">
        <v>390</v>
      </c>
      <c r="D258" s="241" t="s">
        <v>477</v>
      </c>
      <c r="E258" s="240" t="s">
        <v>381</v>
      </c>
      <c r="F258" s="238">
        <v>12000</v>
      </c>
      <c r="G258" s="241">
        <v>1</v>
      </c>
      <c r="H258" s="241"/>
      <c r="I258" s="276">
        <f t="shared" si="21"/>
        <v>12000</v>
      </c>
      <c r="J258" s="240" t="e">
        <f t="shared" si="19"/>
        <v>#VALUE!</v>
      </c>
      <c r="K258" s="241"/>
      <c r="L258" s="241"/>
      <c r="M258" s="13"/>
    </row>
    <row r="259" spans="1:13" ht="50.5" customHeight="1">
      <c r="A259" s="241"/>
      <c r="B259" s="242">
        <v>45999</v>
      </c>
      <c r="C259" s="241" t="s">
        <v>390</v>
      </c>
      <c r="D259" s="241" t="s">
        <v>478</v>
      </c>
      <c r="E259" s="240" t="s">
        <v>381</v>
      </c>
      <c r="F259" s="238">
        <v>3000</v>
      </c>
      <c r="G259" s="241">
        <v>1</v>
      </c>
      <c r="H259" s="241"/>
      <c r="I259" s="276">
        <f t="shared" si="21"/>
        <v>3000</v>
      </c>
      <c r="J259" s="240" t="e">
        <f t="shared" si="19"/>
        <v>#VALUE!</v>
      </c>
      <c r="K259" s="241"/>
      <c r="L259" s="241"/>
      <c r="M259" s="13"/>
    </row>
    <row r="260" spans="1:13" ht="50.5" customHeight="1">
      <c r="A260" s="241"/>
      <c r="B260" s="242">
        <v>45999</v>
      </c>
      <c r="C260" s="241" t="s">
        <v>390</v>
      </c>
      <c r="D260" s="241" t="s">
        <v>479</v>
      </c>
      <c r="E260" s="240" t="s">
        <v>381</v>
      </c>
      <c r="F260" s="238">
        <v>3000</v>
      </c>
      <c r="G260" s="241">
        <v>1</v>
      </c>
      <c r="H260" s="241"/>
      <c r="I260" s="276">
        <f t="shared" si="21"/>
        <v>3000</v>
      </c>
      <c r="J260" s="240" t="e">
        <f t="shared" si="19"/>
        <v>#VALUE!</v>
      </c>
      <c r="K260" s="241"/>
      <c r="L260" s="241"/>
      <c r="M260" s="13"/>
    </row>
    <row r="261" spans="1:13" ht="50.5" customHeight="1">
      <c r="A261" s="241"/>
      <c r="B261" s="242">
        <v>45999</v>
      </c>
      <c r="C261" s="241" t="s">
        <v>390</v>
      </c>
      <c r="D261" s="241" t="s">
        <v>480</v>
      </c>
      <c r="E261" s="240" t="s">
        <v>381</v>
      </c>
      <c r="F261" s="238">
        <v>1000</v>
      </c>
      <c r="G261" s="241">
        <v>2</v>
      </c>
      <c r="H261" s="241"/>
      <c r="I261" s="276">
        <f>(F261*G261)</f>
        <v>2000</v>
      </c>
      <c r="J261" s="240" t="e">
        <f t="shared" si="19"/>
        <v>#VALUE!</v>
      </c>
      <c r="K261" s="241"/>
      <c r="L261" s="241"/>
      <c r="M261" s="13"/>
    </row>
    <row r="262" spans="1:13" ht="50.5" customHeight="1">
      <c r="A262" s="241"/>
      <c r="B262" s="242">
        <v>45999</v>
      </c>
      <c r="C262" s="241" t="s">
        <v>390</v>
      </c>
      <c r="D262" s="241" t="s">
        <v>481</v>
      </c>
      <c r="E262" s="240" t="s">
        <v>381</v>
      </c>
      <c r="F262" s="238">
        <v>60000</v>
      </c>
      <c r="G262" s="241">
        <v>1</v>
      </c>
      <c r="H262" s="241"/>
      <c r="I262" s="276">
        <f t="shared" si="21"/>
        <v>60000</v>
      </c>
      <c r="J262" s="240" t="e">
        <f t="shared" si="19"/>
        <v>#VALUE!</v>
      </c>
      <c r="K262" s="241"/>
      <c r="L262" s="241"/>
      <c r="M262" s="13"/>
    </row>
    <row r="263" spans="1:13" ht="50.5" customHeight="1">
      <c r="A263" s="241"/>
      <c r="B263" s="242">
        <v>46000</v>
      </c>
      <c r="C263" s="241" t="s">
        <v>390</v>
      </c>
      <c r="D263" s="241" t="s">
        <v>492</v>
      </c>
      <c r="E263" s="240" t="s">
        <v>381</v>
      </c>
      <c r="F263" s="238">
        <v>15000</v>
      </c>
      <c r="G263" s="241">
        <v>1</v>
      </c>
      <c r="H263" s="241"/>
      <c r="I263" s="276">
        <f t="shared" si="21"/>
        <v>15000</v>
      </c>
      <c r="J263" s="240" t="e">
        <f t="shared" si="19"/>
        <v>#VALUE!</v>
      </c>
      <c r="K263" s="241"/>
      <c r="L263" s="241"/>
      <c r="M263" s="13"/>
    </row>
    <row r="264" spans="1:13" ht="50.5" customHeight="1">
      <c r="A264" s="241"/>
      <c r="B264" s="242">
        <v>46001</v>
      </c>
      <c r="C264" s="241" t="s">
        <v>390</v>
      </c>
      <c r="D264" s="241" t="s">
        <v>493</v>
      </c>
      <c r="E264" s="240" t="s">
        <v>381</v>
      </c>
      <c r="F264" s="238">
        <v>15000</v>
      </c>
      <c r="G264" s="241">
        <v>1</v>
      </c>
      <c r="H264" s="241"/>
      <c r="I264" s="276">
        <f t="shared" si="21"/>
        <v>15000</v>
      </c>
      <c r="J264" s="240" t="e">
        <f t="shared" si="19"/>
        <v>#VALUE!</v>
      </c>
      <c r="K264" s="241"/>
      <c r="L264" s="241"/>
      <c r="M264" s="13"/>
    </row>
    <row r="265" spans="1:13" ht="50.5" customHeight="1">
      <c r="A265" s="241"/>
      <c r="B265" s="242">
        <v>46001</v>
      </c>
      <c r="C265" s="241" t="s">
        <v>390</v>
      </c>
      <c r="D265" s="241" t="s">
        <v>522</v>
      </c>
      <c r="E265" s="240" t="s">
        <v>381</v>
      </c>
      <c r="F265" s="238">
        <v>5000</v>
      </c>
      <c r="G265" s="241">
        <v>1</v>
      </c>
      <c r="H265" s="241"/>
      <c r="I265" s="276">
        <f t="shared" si="21"/>
        <v>5000</v>
      </c>
      <c r="J265" s="240"/>
      <c r="K265" s="241"/>
      <c r="L265" s="241"/>
      <c r="M265" s="13"/>
    </row>
    <row r="266" spans="1:13" ht="50.5" customHeight="1">
      <c r="A266" s="241">
        <v>7.33</v>
      </c>
      <c r="B266" s="242">
        <v>46002</v>
      </c>
      <c r="C266" s="241" t="s">
        <v>390</v>
      </c>
      <c r="D266" s="241" t="s">
        <v>494</v>
      </c>
      <c r="E266" s="240" t="s">
        <v>381</v>
      </c>
      <c r="F266" s="238">
        <v>1250</v>
      </c>
      <c r="G266" s="241">
        <v>1</v>
      </c>
      <c r="H266" s="241"/>
      <c r="I266" s="276">
        <f t="shared" si="21"/>
        <v>1250</v>
      </c>
      <c r="J266" s="240" t="e">
        <f t="shared" si="19"/>
        <v>#VALUE!</v>
      </c>
      <c r="K266" s="241"/>
      <c r="L266" s="241"/>
      <c r="M266" s="13"/>
    </row>
    <row r="267" spans="1:13" ht="50.5" customHeight="1">
      <c r="A267" s="241">
        <v>7.25</v>
      </c>
      <c r="B267" s="242">
        <v>46003</v>
      </c>
      <c r="C267" s="241" t="s">
        <v>390</v>
      </c>
      <c r="D267" s="241" t="s">
        <v>511</v>
      </c>
      <c r="E267" s="240" t="s">
        <v>381</v>
      </c>
      <c r="F267" s="238">
        <v>30000</v>
      </c>
      <c r="G267" s="241">
        <v>1</v>
      </c>
      <c r="H267" s="241"/>
      <c r="I267" s="276">
        <f t="shared" si="21"/>
        <v>30000</v>
      </c>
      <c r="J267" s="240" t="e">
        <f t="shared" si="19"/>
        <v>#VALUE!</v>
      </c>
      <c r="K267" s="241"/>
      <c r="L267" s="241"/>
      <c r="M267" s="13"/>
    </row>
    <row r="268" spans="1:13" ht="50.5" customHeight="1">
      <c r="A268" s="241"/>
      <c r="B268" s="242">
        <v>46003</v>
      </c>
      <c r="C268" s="241"/>
      <c r="D268" s="241" t="s">
        <v>514</v>
      </c>
      <c r="E268" s="331"/>
      <c r="F268" s="332">
        <v>30000</v>
      </c>
      <c r="G268" s="241">
        <v>1</v>
      </c>
      <c r="H268" s="241"/>
      <c r="I268" s="333">
        <f t="shared" si="21"/>
        <v>30000</v>
      </c>
      <c r="J268" s="240">
        <f t="shared" si="19"/>
        <v>-30000</v>
      </c>
      <c r="K268" s="241"/>
      <c r="L268" s="241"/>
      <c r="M268" s="13"/>
    </row>
    <row r="269" spans="1:13" ht="50.5" customHeight="1">
      <c r="A269" s="243" t="s">
        <v>422</v>
      </c>
      <c r="B269" s="244"/>
      <c r="C269" s="243"/>
      <c r="D269" s="243"/>
      <c r="E269" s="245">
        <v>409135</v>
      </c>
      <c r="F269" s="246"/>
      <c r="G269" s="243"/>
      <c r="H269" s="243"/>
      <c r="I269" s="245">
        <f>SUM(I222:I268)</f>
        <v>584100</v>
      </c>
      <c r="J269" s="245">
        <f t="shared" si="19"/>
        <v>-174965</v>
      </c>
      <c r="K269" s="243"/>
      <c r="L269" s="243"/>
      <c r="M269" s="13"/>
    </row>
    <row r="270" spans="1:13" ht="50.5" customHeight="1">
      <c r="A270" s="247"/>
      <c r="B270" s="248"/>
      <c r="C270" s="247"/>
      <c r="D270" s="247"/>
      <c r="E270" s="138"/>
      <c r="F270" s="249"/>
      <c r="G270" s="247"/>
      <c r="H270" s="247"/>
      <c r="I270" s="138"/>
      <c r="J270" s="138"/>
      <c r="K270" s="247"/>
      <c r="L270" s="247"/>
      <c r="M270" s="13"/>
    </row>
    <row r="271" spans="1:13" ht="50.5" customHeight="1">
      <c r="A271" s="368" t="s">
        <v>423</v>
      </c>
      <c r="B271" s="369"/>
      <c r="C271" s="369"/>
      <c r="D271" s="369"/>
      <c r="E271" s="369"/>
      <c r="F271" s="369"/>
      <c r="G271" s="369"/>
      <c r="H271" s="369"/>
      <c r="I271" s="369"/>
      <c r="J271" s="369"/>
      <c r="K271" s="369"/>
      <c r="L271" s="370"/>
      <c r="M271" s="13"/>
    </row>
    <row r="272" spans="1:13" ht="50.5" customHeight="1">
      <c r="A272" s="196"/>
      <c r="B272" s="197"/>
      <c r="C272" s="197"/>
      <c r="D272" s="197"/>
      <c r="E272" s="197" t="s">
        <v>6</v>
      </c>
      <c r="F272" s="197"/>
      <c r="G272" s="197"/>
      <c r="H272" s="197"/>
      <c r="I272" s="197" t="s">
        <v>10</v>
      </c>
      <c r="J272" s="197" t="s">
        <v>11</v>
      </c>
      <c r="K272" s="197"/>
      <c r="L272" s="213"/>
      <c r="M272" s="13"/>
    </row>
    <row r="273" spans="1:13" ht="69.5" customHeight="1">
      <c r="A273" s="250" t="s">
        <v>422</v>
      </c>
      <c r="B273" s="250" t="s">
        <v>14</v>
      </c>
      <c r="C273" s="250" t="s">
        <v>14</v>
      </c>
      <c r="D273" s="250" t="s">
        <v>14</v>
      </c>
      <c r="E273" s="251">
        <f>SUM(E18,E47,E76,E163,E207,E218,E269)</f>
        <v>8607835</v>
      </c>
      <c r="F273" s="252"/>
      <c r="G273" s="250" t="s">
        <v>14</v>
      </c>
      <c r="H273" s="251"/>
      <c r="I273" s="251">
        <f>SUM(I18,I47,I76,I163,I207,I218,I269)</f>
        <v>6276849.3499139994</v>
      </c>
      <c r="J273" s="251">
        <f>(E273-I273)</f>
        <v>2330985.6500860006</v>
      </c>
      <c r="K273" s="250" t="s">
        <v>14</v>
      </c>
      <c r="L273" s="250" t="s">
        <v>14</v>
      </c>
      <c r="M273" s="13"/>
    </row>
    <row r="274" spans="1:13" ht="17" customHeight="1">
      <c r="M274" s="13"/>
    </row>
    <row r="275" spans="1:13" ht="37.5" customHeight="1">
      <c r="A275" s="371" t="s">
        <v>424</v>
      </c>
      <c r="B275" s="372"/>
      <c r="C275" s="372"/>
      <c r="D275" s="372"/>
      <c r="E275" s="372"/>
      <c r="F275" s="372"/>
      <c r="G275" s="372"/>
      <c r="H275" s="372"/>
      <c r="I275" s="372"/>
      <c r="J275" s="372"/>
      <c r="K275" s="373"/>
      <c r="M275" s="13"/>
    </row>
    <row r="276" spans="1:13" ht="39.5" customHeight="1">
      <c r="A276" s="355" t="s">
        <v>425</v>
      </c>
      <c r="B276" s="356"/>
      <c r="C276" s="356"/>
      <c r="D276" s="356"/>
      <c r="E276" s="356"/>
      <c r="F276" s="356"/>
      <c r="G276" s="356"/>
      <c r="H276" s="356"/>
      <c r="I276" s="356"/>
      <c r="J276" s="356"/>
      <c r="K276" s="357"/>
      <c r="M276" s="13"/>
    </row>
    <row r="277" spans="1:13" ht="59" customHeight="1">
      <c r="A277" s="253" t="s">
        <v>426</v>
      </c>
      <c r="B277" s="253" t="s">
        <v>427</v>
      </c>
      <c r="C277" s="253" t="s">
        <v>428</v>
      </c>
      <c r="D277" s="253" t="s">
        <v>429</v>
      </c>
      <c r="E277" s="253" t="s">
        <v>430</v>
      </c>
      <c r="F277" s="253" t="s">
        <v>431</v>
      </c>
      <c r="G277" s="254"/>
      <c r="H277" s="254"/>
      <c r="I277" s="254"/>
      <c r="J277" s="254"/>
      <c r="K277" s="254"/>
      <c r="M277" s="13"/>
    </row>
    <row r="278" spans="1:13" ht="40" customHeight="1">
      <c r="A278" s="255" t="s">
        <v>432</v>
      </c>
      <c r="B278" s="256">
        <f>(E18)</f>
        <v>1366000</v>
      </c>
      <c r="C278" s="257">
        <f>(H18)</f>
        <v>0</v>
      </c>
      <c r="D278" s="257">
        <f>(I18)</f>
        <v>908000</v>
      </c>
      <c r="E278" s="258">
        <f>(J18)</f>
        <v>488000</v>
      </c>
      <c r="F278" s="259">
        <f>(E278/B278)</f>
        <v>0.35724743777452417</v>
      </c>
      <c r="G278" s="260"/>
      <c r="H278" s="260"/>
      <c r="I278" s="260"/>
      <c r="J278" s="260"/>
      <c r="K278" s="260"/>
      <c r="M278" s="13"/>
    </row>
    <row r="279" spans="1:13" ht="46" customHeight="1">
      <c r="A279" s="261" t="s">
        <v>433</v>
      </c>
      <c r="B279" s="262">
        <f>(E47)</f>
        <v>4952200</v>
      </c>
      <c r="C279" s="263">
        <f>(H47)</f>
        <v>0</v>
      </c>
      <c r="D279" s="263">
        <f>(I47)</f>
        <v>3216599.8499139999</v>
      </c>
      <c r="E279" s="263">
        <f>(J47)</f>
        <v>1735600.1500860001</v>
      </c>
      <c r="F279" s="264">
        <f t="shared" ref="F279:F285" si="22">(E279/B279)</f>
        <v>0.35047052826743669</v>
      </c>
      <c r="G279" s="265"/>
      <c r="H279" s="265"/>
      <c r="I279" s="265"/>
      <c r="J279" s="265"/>
      <c r="K279" s="265"/>
      <c r="M279" s="13"/>
    </row>
    <row r="280" spans="1:13" ht="62" customHeight="1">
      <c r="A280" s="266" t="s">
        <v>434</v>
      </c>
      <c r="B280" s="267">
        <f>(E76)</f>
        <v>730500</v>
      </c>
      <c r="C280" s="268">
        <f>(H76)</f>
        <v>0</v>
      </c>
      <c r="D280" s="268">
        <f>(I76)</f>
        <v>602900</v>
      </c>
      <c r="E280" s="268">
        <f>+(J76)</f>
        <v>127600</v>
      </c>
      <c r="F280" s="269">
        <f t="shared" si="22"/>
        <v>0.17467488021902805</v>
      </c>
      <c r="G280" s="270"/>
      <c r="H280" s="270"/>
      <c r="I280" s="270"/>
      <c r="J280" s="270"/>
      <c r="K280" s="270"/>
      <c r="M280" s="13"/>
    </row>
    <row r="281" spans="1:13" ht="52.5" customHeight="1">
      <c r="A281" s="277" t="s">
        <v>435</v>
      </c>
      <c r="B281" s="278">
        <f>(E163)</f>
        <v>250000</v>
      </c>
      <c r="C281" s="279">
        <f>(H163)</f>
        <v>0</v>
      </c>
      <c r="D281" s="280">
        <f>(I163)</f>
        <v>700850</v>
      </c>
      <c r="E281" s="280">
        <f>(J163)</f>
        <v>-450850</v>
      </c>
      <c r="F281" s="281">
        <f t="shared" si="22"/>
        <v>-1.8033999999999999</v>
      </c>
      <c r="G281" s="282"/>
      <c r="H281" s="282"/>
      <c r="I281" s="282"/>
      <c r="J281" s="282"/>
      <c r="K281" s="282"/>
    </row>
    <row r="282" spans="1:13" ht="48" customHeight="1">
      <c r="A282" s="283" t="s">
        <v>436</v>
      </c>
      <c r="B282" s="284">
        <f>(E207)</f>
        <v>300000</v>
      </c>
      <c r="C282" s="285">
        <f>(H207)</f>
        <v>0</v>
      </c>
      <c r="D282" s="286">
        <f>(I207)</f>
        <v>264399.5</v>
      </c>
      <c r="E282" s="286">
        <f>(J207)</f>
        <v>35600.5</v>
      </c>
      <c r="F282" s="287">
        <f t="shared" si="22"/>
        <v>0.11866833333333333</v>
      </c>
      <c r="G282" s="288"/>
      <c r="H282" s="288"/>
      <c r="I282" s="288"/>
      <c r="J282" s="288"/>
      <c r="K282" s="288"/>
      <c r="L282" s="6"/>
    </row>
    <row r="283" spans="1:13" ht="42" customHeight="1">
      <c r="A283" s="289" t="s">
        <v>437</v>
      </c>
      <c r="B283" s="224">
        <f>(E218)</f>
        <v>600000</v>
      </c>
      <c r="C283" s="290">
        <f>(H218)</f>
        <v>0</v>
      </c>
      <c r="D283" s="290">
        <f>(I218)</f>
        <v>0</v>
      </c>
      <c r="E283" s="290">
        <f>(J218)</f>
        <v>600000</v>
      </c>
      <c r="F283" s="291">
        <f t="shared" si="22"/>
        <v>1</v>
      </c>
      <c r="G283" s="292"/>
      <c r="H283" s="292"/>
      <c r="I283" s="292"/>
      <c r="J283" s="292"/>
      <c r="K283" s="292"/>
      <c r="L283" s="6"/>
    </row>
    <row r="284" spans="1:13" ht="43.5" customHeight="1">
      <c r="A284" s="293" t="s">
        <v>438</v>
      </c>
      <c r="B284" s="294">
        <f>(E221)</f>
        <v>409135</v>
      </c>
      <c r="C284" s="295">
        <f>(H221)</f>
        <v>0</v>
      </c>
      <c r="D284" s="296">
        <f>(I269)</f>
        <v>584100</v>
      </c>
      <c r="E284" s="296">
        <f>(J269)</f>
        <v>-174965</v>
      </c>
      <c r="F284" s="297">
        <f t="shared" si="22"/>
        <v>-0.42764613147249686</v>
      </c>
      <c r="G284" s="298"/>
      <c r="H284" s="298"/>
      <c r="I284" s="298"/>
      <c r="J284" s="298"/>
      <c r="K284" s="298"/>
    </row>
    <row r="285" spans="1:13" ht="41.5" customHeight="1">
      <c r="A285" s="299" t="s">
        <v>439</v>
      </c>
      <c r="B285" s="300">
        <f>SUM(B278:B284)</f>
        <v>8607835</v>
      </c>
      <c r="C285" s="301">
        <f>SUM(C278:C284)</f>
        <v>0</v>
      </c>
      <c r="D285" s="301">
        <f>SUM(D278:D284)</f>
        <v>6276849.3499139994</v>
      </c>
      <c r="E285" s="301">
        <f>SUM(E278:E284)</f>
        <v>2360985.6500860001</v>
      </c>
      <c r="F285" s="302">
        <f t="shared" si="22"/>
        <v>0.27428333025505253</v>
      </c>
      <c r="G285" s="303"/>
      <c r="H285" s="303"/>
      <c r="I285" s="303"/>
      <c r="J285" s="303"/>
      <c r="K285" s="303"/>
    </row>
    <row r="286" spans="1:13">
      <c r="A286" s="304"/>
      <c r="B286" s="304"/>
      <c r="C286" s="304"/>
      <c r="D286" s="304"/>
      <c r="E286" s="304"/>
      <c r="F286" s="305"/>
      <c r="G286" s="304"/>
      <c r="H286" s="304"/>
      <c r="I286" s="304"/>
      <c r="J286" s="304"/>
      <c r="K286" s="304"/>
    </row>
    <row r="287" spans="1:13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</row>
    <row r="288" spans="1:13" ht="38" customHeight="1">
      <c r="A288" s="358" t="s">
        <v>440</v>
      </c>
      <c r="B288" s="358"/>
      <c r="C288" s="358"/>
      <c r="D288" s="358"/>
      <c r="E288" s="358"/>
      <c r="F288" s="358"/>
      <c r="G288" s="117"/>
      <c r="H288" s="117"/>
      <c r="I288" s="117"/>
      <c r="J288" s="117"/>
      <c r="K288" s="117"/>
    </row>
    <row r="289" spans="1:11" ht="50" customHeight="1">
      <c r="A289" s="306" t="s">
        <v>2</v>
      </c>
      <c r="B289" s="307" t="s">
        <v>441</v>
      </c>
      <c r="C289" s="307" t="s">
        <v>442</v>
      </c>
      <c r="D289" s="307" t="s">
        <v>443</v>
      </c>
      <c r="E289" s="307" t="s">
        <v>444</v>
      </c>
      <c r="F289" s="308" t="s">
        <v>445</v>
      </c>
      <c r="G289" s="117"/>
      <c r="H289" s="117"/>
      <c r="I289" s="117"/>
      <c r="J289" s="117"/>
      <c r="K289" s="117"/>
    </row>
    <row r="290" spans="1:11" ht="27.5" customHeight="1">
      <c r="A290" s="309">
        <v>1</v>
      </c>
      <c r="B290" s="310">
        <v>45968</v>
      </c>
      <c r="C290" s="311" t="s">
        <v>446</v>
      </c>
      <c r="D290" s="311" t="s">
        <v>447</v>
      </c>
      <c r="E290" s="311" t="s">
        <v>448</v>
      </c>
      <c r="F290" s="312">
        <v>50000</v>
      </c>
      <c r="G290" s="117"/>
      <c r="H290" s="117"/>
      <c r="I290" s="117"/>
      <c r="J290" s="117"/>
      <c r="K290" s="117"/>
    </row>
    <row r="291" spans="1:11" ht="24.5" customHeight="1">
      <c r="A291" s="313">
        <v>2</v>
      </c>
      <c r="B291" s="314">
        <v>45971</v>
      </c>
      <c r="C291" s="315" t="s">
        <v>449</v>
      </c>
      <c r="D291" s="315" t="s">
        <v>450</v>
      </c>
      <c r="E291" s="315" t="s">
        <v>448</v>
      </c>
      <c r="F291" s="316">
        <v>2000000</v>
      </c>
      <c r="G291" s="117"/>
      <c r="H291" s="117"/>
      <c r="I291" s="117"/>
      <c r="J291" s="117"/>
      <c r="K291" s="117"/>
    </row>
    <row r="292" spans="1:11" ht="25" customHeight="1">
      <c r="A292" s="315">
        <v>3</v>
      </c>
      <c r="B292" s="314">
        <v>45971</v>
      </c>
      <c r="C292" s="315" t="s">
        <v>451</v>
      </c>
      <c r="D292" s="315" t="s">
        <v>450</v>
      </c>
      <c r="E292" s="315" t="s">
        <v>448</v>
      </c>
      <c r="F292" s="317">
        <v>1000000</v>
      </c>
      <c r="G292" s="117"/>
      <c r="H292" s="117"/>
      <c r="I292" s="117"/>
      <c r="J292" s="117"/>
      <c r="K292" s="117"/>
    </row>
    <row r="293" spans="1:11" ht="25" customHeight="1">
      <c r="A293" s="315">
        <v>4</v>
      </c>
      <c r="B293" s="314">
        <v>45979</v>
      </c>
      <c r="C293" s="315" t="s">
        <v>449</v>
      </c>
      <c r="D293" s="315" t="s">
        <v>450</v>
      </c>
      <c r="E293" s="315" t="s">
        <v>448</v>
      </c>
      <c r="F293" s="317">
        <v>1260000</v>
      </c>
      <c r="G293" s="117"/>
      <c r="H293" s="117"/>
      <c r="I293" s="117"/>
      <c r="J293" s="117"/>
      <c r="K293" s="117"/>
    </row>
    <row r="294" spans="1:11" ht="25" customHeight="1">
      <c r="A294" s="315">
        <v>5</v>
      </c>
      <c r="B294" s="314">
        <v>45981</v>
      </c>
      <c r="C294" s="315" t="s">
        <v>451</v>
      </c>
      <c r="D294" s="315" t="s">
        <v>450</v>
      </c>
      <c r="E294" s="315" t="s">
        <v>452</v>
      </c>
      <c r="F294" s="317">
        <f>(23800-20000)</f>
        <v>3800</v>
      </c>
      <c r="G294" s="117"/>
      <c r="H294" s="117"/>
      <c r="I294" s="117"/>
      <c r="J294" s="117"/>
      <c r="K294" s="117"/>
    </row>
    <row r="295" spans="1:11" ht="25" customHeight="1">
      <c r="A295" s="315">
        <v>6</v>
      </c>
      <c r="B295" s="314">
        <v>45982</v>
      </c>
      <c r="C295" s="315" t="s">
        <v>451</v>
      </c>
      <c r="D295" s="315" t="s">
        <v>450</v>
      </c>
      <c r="E295" s="315" t="s">
        <v>452</v>
      </c>
      <c r="F295" s="317">
        <f>(31000-30000)</f>
        <v>1000</v>
      </c>
      <c r="G295" s="117"/>
      <c r="H295" s="117"/>
      <c r="I295" s="117"/>
      <c r="J295" s="117"/>
      <c r="K295" s="117"/>
    </row>
    <row r="296" spans="1:11" ht="25" customHeight="1">
      <c r="A296" s="315">
        <v>7</v>
      </c>
      <c r="B296" s="314">
        <v>45986</v>
      </c>
      <c r="C296" s="315" t="s">
        <v>449</v>
      </c>
      <c r="D296" s="315" t="s">
        <v>450</v>
      </c>
      <c r="E296" s="315" t="s">
        <v>448</v>
      </c>
      <c r="F296" s="317">
        <v>500000</v>
      </c>
      <c r="G296" s="117"/>
      <c r="H296" s="117"/>
      <c r="I296" s="117"/>
      <c r="J296" s="117"/>
      <c r="K296" s="117"/>
    </row>
    <row r="297" spans="1:11" ht="25" customHeight="1">
      <c r="A297" s="315">
        <v>8</v>
      </c>
      <c r="B297" s="314">
        <v>45987</v>
      </c>
      <c r="C297" s="315" t="s">
        <v>451</v>
      </c>
      <c r="D297" s="315" t="s">
        <v>453</v>
      </c>
      <c r="E297" s="315" t="s">
        <v>448</v>
      </c>
      <c r="F297" s="317">
        <v>80000</v>
      </c>
      <c r="G297" s="117"/>
      <c r="H297" s="117"/>
      <c r="I297" s="117"/>
      <c r="J297" s="117"/>
      <c r="K297" s="117"/>
    </row>
    <row r="298" spans="1:11" ht="35" customHeight="1">
      <c r="A298" s="315">
        <v>9</v>
      </c>
      <c r="B298" s="314">
        <v>45994</v>
      </c>
      <c r="C298" s="315" t="s">
        <v>449</v>
      </c>
      <c r="D298" s="315" t="s">
        <v>454</v>
      </c>
      <c r="E298" s="315" t="s">
        <v>448</v>
      </c>
      <c r="F298" s="317">
        <f>(500000-86000)</f>
        <v>414000</v>
      </c>
      <c r="G298" s="318" t="s">
        <v>455</v>
      </c>
      <c r="H298" s="117"/>
      <c r="I298" s="117"/>
      <c r="J298" s="117"/>
      <c r="K298" s="117"/>
    </row>
    <row r="299" spans="1:11" ht="35" customHeight="1">
      <c r="A299" s="315">
        <v>10</v>
      </c>
      <c r="B299" s="314">
        <v>45999</v>
      </c>
      <c r="C299" s="315" t="s">
        <v>449</v>
      </c>
      <c r="D299" s="315" t="s">
        <v>489</v>
      </c>
      <c r="E299" s="315" t="s">
        <v>490</v>
      </c>
      <c r="F299" s="335">
        <v>497300</v>
      </c>
      <c r="G299" s="334"/>
      <c r="H299" s="117"/>
      <c r="I299" s="117"/>
      <c r="J299" s="117"/>
      <c r="K299" s="117"/>
    </row>
    <row r="300" spans="1:11" ht="35" customHeight="1">
      <c r="A300" s="315">
        <v>11</v>
      </c>
      <c r="B300" s="314">
        <v>46003</v>
      </c>
      <c r="C300" s="315" t="s">
        <v>449</v>
      </c>
      <c r="D300" s="315" t="s">
        <v>513</v>
      </c>
      <c r="E300" s="315" t="s">
        <v>452</v>
      </c>
      <c r="F300" s="335">
        <v>30000</v>
      </c>
      <c r="G300" s="334"/>
      <c r="H300" s="117"/>
      <c r="I300" s="117"/>
      <c r="J300" s="117"/>
      <c r="K300" s="117"/>
    </row>
    <row r="301" spans="1:11" ht="38.5" customHeight="1">
      <c r="A301" s="359" t="s">
        <v>456</v>
      </c>
      <c r="B301" s="360"/>
      <c r="C301" s="360"/>
      <c r="D301" s="360"/>
      <c r="E301" s="360"/>
      <c r="F301" s="319">
        <f>SUM(F290:F300)</f>
        <v>5836100</v>
      </c>
      <c r="G301" s="117"/>
      <c r="H301" s="117"/>
      <c r="I301" s="117"/>
      <c r="J301" s="117"/>
      <c r="K301" s="117"/>
    </row>
    <row r="302" spans="1:11" ht="37.5" customHeight="1">
      <c r="A302" s="361" t="s">
        <v>457</v>
      </c>
      <c r="B302" s="361"/>
      <c r="C302" s="361"/>
      <c r="D302" s="361"/>
      <c r="E302" s="361"/>
      <c r="F302" s="320">
        <f>(497300-497300)</f>
        <v>0</v>
      </c>
      <c r="G302" s="117"/>
      <c r="H302" s="117"/>
      <c r="I302" s="117"/>
      <c r="J302" s="117"/>
      <c r="K302" s="117"/>
    </row>
    <row r="303" spans="1:11" ht="38.5" customHeight="1">
      <c r="A303" s="362" t="s">
        <v>458</v>
      </c>
      <c r="B303" s="362"/>
      <c r="C303" s="362"/>
      <c r="D303" s="362"/>
      <c r="E303" s="362"/>
      <c r="F303" s="321">
        <f>(D285-F302)</f>
        <v>6276849.3499139994</v>
      </c>
      <c r="G303" s="117"/>
      <c r="H303" s="117"/>
      <c r="I303" s="117"/>
      <c r="J303" s="117"/>
      <c r="K303" s="117"/>
    </row>
    <row r="304" spans="1:11" ht="45" customHeight="1">
      <c r="A304" s="351" t="s">
        <v>459</v>
      </c>
      <c r="B304" s="351"/>
      <c r="C304" s="351"/>
      <c r="D304" s="351"/>
      <c r="E304" s="351"/>
      <c r="F304" s="322">
        <f>(F301-F303)</f>
        <v>-440749.34991399944</v>
      </c>
      <c r="G304" s="117"/>
      <c r="H304" s="117"/>
      <c r="I304" s="117"/>
      <c r="J304" s="117"/>
      <c r="K304" s="117"/>
    </row>
    <row r="305" spans="1:12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</row>
    <row r="306" spans="1:12" ht="40.5" customHeight="1">
      <c r="A306" s="352" t="s">
        <v>460</v>
      </c>
      <c r="B306" s="353"/>
      <c r="C306" s="353"/>
      <c r="D306" s="353"/>
      <c r="E306" s="353"/>
      <c r="F306" s="353"/>
      <c r="G306" s="353"/>
      <c r="H306" s="353"/>
      <c r="I306" s="353"/>
      <c r="J306" s="353"/>
      <c r="K306" s="353"/>
      <c r="L306" s="354"/>
    </row>
    <row r="307" spans="1:12">
      <c r="A307" s="349" t="s">
        <v>461</v>
      </c>
      <c r="B307" s="349"/>
      <c r="C307" s="349"/>
      <c r="D307" s="349"/>
      <c r="E307" s="349"/>
      <c r="F307" s="349"/>
      <c r="G307" s="349"/>
      <c r="H307" s="349"/>
      <c r="I307" s="349"/>
      <c r="J307" s="349"/>
      <c r="K307" s="349"/>
      <c r="L307" s="329"/>
    </row>
    <row r="308" spans="1:12">
      <c r="A308" s="349" t="s">
        <v>462</v>
      </c>
      <c r="B308" s="349"/>
      <c r="C308" s="349"/>
      <c r="D308" s="349"/>
      <c r="E308" s="349"/>
      <c r="F308" s="349"/>
      <c r="G308" s="349"/>
      <c r="H308" s="349"/>
      <c r="I308" s="349"/>
      <c r="J308" s="349"/>
      <c r="K308" s="349"/>
      <c r="L308" s="349"/>
    </row>
    <row r="309" spans="1:12" ht="42" customHeight="1">
      <c r="A309" s="349" t="s">
        <v>463</v>
      </c>
      <c r="B309" s="349"/>
      <c r="C309" s="349"/>
      <c r="D309" s="349"/>
      <c r="E309" s="349"/>
      <c r="F309" s="349"/>
      <c r="G309" s="349"/>
      <c r="H309" s="349"/>
      <c r="I309" s="349"/>
      <c r="J309" s="349"/>
      <c r="K309" s="349"/>
      <c r="L309" s="349"/>
    </row>
    <row r="310" spans="1:12" ht="42" customHeight="1">
      <c r="A310" s="349" t="s">
        <v>464</v>
      </c>
      <c r="B310" s="349"/>
      <c r="C310" s="349"/>
      <c r="D310" s="349"/>
      <c r="E310" s="349"/>
      <c r="F310" s="349"/>
      <c r="G310" s="349"/>
      <c r="H310" s="349"/>
      <c r="I310" s="349"/>
      <c r="J310" s="349"/>
      <c r="K310" s="349"/>
      <c r="L310" s="349"/>
    </row>
    <row r="311" spans="1:12">
      <c r="A311" s="349" t="s">
        <v>465</v>
      </c>
      <c r="B311" s="349"/>
      <c r="C311" s="349"/>
      <c r="D311" s="349"/>
      <c r="E311" s="349"/>
      <c r="F311" s="349"/>
      <c r="G311" s="349"/>
      <c r="H311" s="349"/>
      <c r="I311" s="349"/>
      <c r="J311" s="349"/>
      <c r="K311" s="349"/>
      <c r="L311" s="323"/>
    </row>
    <row r="312" spans="1:12" ht="34" customHeight="1">
      <c r="A312" s="349" t="s">
        <v>466</v>
      </c>
      <c r="B312" s="349"/>
      <c r="C312" s="349"/>
      <c r="D312" s="349"/>
      <c r="E312" s="349"/>
      <c r="F312" s="349"/>
      <c r="G312" s="349"/>
      <c r="H312" s="349"/>
      <c r="I312" s="349"/>
      <c r="J312" s="349"/>
      <c r="K312" s="349"/>
      <c r="L312" s="349"/>
    </row>
    <row r="313" spans="1:12">
      <c r="A313" s="350"/>
      <c r="B313" s="350"/>
      <c r="C313" s="350"/>
      <c r="D313" s="350"/>
      <c r="E313" s="350"/>
      <c r="F313" s="350"/>
      <c r="G313" s="350"/>
      <c r="H313" s="350"/>
      <c r="I313" s="350"/>
      <c r="J313" s="350"/>
      <c r="K313" s="350"/>
      <c r="L313" s="350"/>
    </row>
    <row r="314" spans="1:12" s="14" customFormat="1" ht="40.5" customHeight="1">
      <c r="A314" s="339" t="s">
        <v>467</v>
      </c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</row>
    <row r="315" spans="1:12" s="6" customFormat="1" ht="40.5" customHeight="1">
      <c r="A315" s="339" t="s">
        <v>468</v>
      </c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23"/>
    </row>
    <row r="316" spans="1:12" ht="36" customHeight="1">
      <c r="A316" s="339" t="s">
        <v>469</v>
      </c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</row>
    <row r="317" spans="1:12" ht="36.5" customHeight="1">
      <c r="A317" s="324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30"/>
    </row>
    <row r="318" spans="1:12" ht="34.5" customHeight="1">
      <c r="A318" s="340" t="s">
        <v>470</v>
      </c>
      <c r="B318" s="341"/>
      <c r="C318" s="341"/>
      <c r="D318" s="341"/>
      <c r="E318" s="341"/>
      <c r="F318" s="341"/>
      <c r="G318" s="341"/>
      <c r="H318" s="341"/>
      <c r="I318" s="341"/>
      <c r="J318" s="341"/>
      <c r="K318" s="342"/>
      <c r="L318" s="117"/>
    </row>
    <row r="319" spans="1:12" ht="36" customHeight="1">
      <c r="A319" s="343" t="s">
        <v>471</v>
      </c>
      <c r="B319" s="344"/>
      <c r="C319" s="344"/>
      <c r="D319" s="344"/>
      <c r="E319" s="344"/>
      <c r="F319" s="344"/>
      <c r="G319" s="344"/>
      <c r="H319" s="344"/>
      <c r="I319" s="344"/>
      <c r="J319" s="344"/>
      <c r="K319" s="345"/>
    </row>
    <row r="320" spans="1:12" ht="38.5" customHeight="1">
      <c r="A320" s="346" t="s">
        <v>472</v>
      </c>
      <c r="B320" s="347"/>
      <c r="C320" s="347"/>
      <c r="D320" s="347"/>
      <c r="E320" s="347"/>
      <c r="F320" s="347"/>
      <c r="G320" s="347"/>
      <c r="H320" s="347"/>
      <c r="I320" s="347"/>
      <c r="J320" s="347"/>
      <c r="K320" s="348"/>
    </row>
    <row r="321" spans="1:11" ht="30" customHeight="1">
      <c r="A321" s="336" t="s">
        <v>473</v>
      </c>
      <c r="B321" s="337"/>
      <c r="C321" s="337"/>
      <c r="D321" s="337"/>
      <c r="E321" s="337"/>
      <c r="F321" s="337"/>
      <c r="G321" s="337"/>
      <c r="H321" s="337"/>
      <c r="I321" s="337"/>
      <c r="J321" s="337"/>
      <c r="K321" s="338"/>
    </row>
    <row r="322" spans="1:11" ht="29" customHeight="1">
      <c r="A322" s="326"/>
      <c r="B322" s="327"/>
      <c r="C322" s="327"/>
      <c r="D322" s="327"/>
      <c r="E322" s="327"/>
      <c r="F322" s="327"/>
      <c r="G322" s="327"/>
      <c r="H322" s="327"/>
      <c r="I322" s="327"/>
      <c r="J322" s="327"/>
      <c r="K322" s="327"/>
    </row>
    <row r="323" spans="1:11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</row>
  </sheetData>
  <mergeCells count="26">
    <mergeCell ref="A1:L1"/>
    <mergeCell ref="A3:L3"/>
    <mergeCell ref="A18:D18"/>
    <mergeCell ref="A271:L271"/>
    <mergeCell ref="A275:K275"/>
    <mergeCell ref="A276:K276"/>
    <mergeCell ref="A288:F288"/>
    <mergeCell ref="A301:E301"/>
    <mergeCell ref="A302:E302"/>
    <mergeCell ref="A303:E303"/>
    <mergeCell ref="A304:E304"/>
    <mergeCell ref="A306:L306"/>
    <mergeCell ref="A307:K307"/>
    <mergeCell ref="A308:L308"/>
    <mergeCell ref="A309:L309"/>
    <mergeCell ref="A310:L310"/>
    <mergeCell ref="A311:K311"/>
    <mergeCell ref="A312:L312"/>
    <mergeCell ref="A313:L313"/>
    <mergeCell ref="A314:L314"/>
    <mergeCell ref="A321:K321"/>
    <mergeCell ref="A315:K315"/>
    <mergeCell ref="A316:L316"/>
    <mergeCell ref="A318:K318"/>
    <mergeCell ref="A319:K319"/>
    <mergeCell ref="A320:K320"/>
  </mergeCells>
  <phoneticPr fontId="44" type="noConversion"/>
  <pageMargins left="0.7" right="0.7" top="0.75" bottom="0.75" header="0.3" footer="0.3"/>
  <pageSetup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Samuel</dc:creator>
  <cp:lastModifiedBy>George Samuel</cp:lastModifiedBy>
  <cp:lastPrinted>2025-11-22T09:32:00Z</cp:lastPrinted>
  <dcterms:created xsi:type="dcterms:W3CDTF">2025-11-07T15:44:00Z</dcterms:created>
  <dcterms:modified xsi:type="dcterms:W3CDTF">2025-12-14T19:38:55Z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A45C21152CAF4250844A05B821BAE1C3_12</vt:lpwstr>
  </property>
  <property fmtid="{D5CDD505-2E9C-101B-9397-08002B2CF9AE}" pid="3" name="KSOProductBuildVer">
    <vt:lpwstr>1033-12.2.0.23155</vt:lpwstr>
  </property>
</Properties>
</file>
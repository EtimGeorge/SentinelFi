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ocuments\solution energy and engineering services\Quotation files\FIPL OMOKU-Corrosion Control on GTO4 &amp; GTO5 Filter Housing and Turbine Compartment Panels\SUBMISSION PACKAGE\"/>
    </mc:Choice>
  </mc:AlternateContent>
  <xr:revisionPtr revIDLastSave="0" documentId="13_ncr:1_{5F653EB8-43D6-4A4C-BED0-930264329B74}" xr6:coauthVersionLast="47" xr6:coauthVersionMax="47" xr10:uidLastSave="{00000000-0000-0000-0000-000000000000}"/>
  <bookViews>
    <workbookView xWindow="10010" yWindow="160" windowWidth="9030" windowHeight="10140" xr2:uid="{5C56A8CC-80E1-4C0E-9831-37198A6BF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2" i="1" l="1"/>
  <c r="C131" i="1"/>
  <c r="D113" i="1"/>
  <c r="C128" i="1"/>
  <c r="F90" i="1" l="1"/>
  <c r="F91" i="1"/>
  <c r="F92" i="1"/>
  <c r="F93" i="1"/>
  <c r="F94" i="1"/>
  <c r="F95" i="1"/>
  <c r="F96" i="1"/>
  <c r="F89" i="1"/>
  <c r="F70" i="1"/>
  <c r="F58" i="1"/>
  <c r="F57" i="1"/>
  <c r="F55" i="1"/>
  <c r="F56" i="1"/>
  <c r="F54" i="1"/>
  <c r="F32" i="1"/>
  <c r="F33" i="1"/>
  <c r="F34" i="1"/>
  <c r="F35" i="1"/>
  <c r="F29" i="1"/>
  <c r="F30" i="1"/>
  <c r="F31" i="1"/>
  <c r="F26" i="1"/>
  <c r="F27" i="1"/>
  <c r="F28" i="1"/>
  <c r="F25" i="1"/>
  <c r="F80" i="1"/>
  <c r="F81" i="1"/>
  <c r="F82" i="1"/>
  <c r="F79" i="1"/>
  <c r="F66" i="1"/>
  <c r="F67" i="1"/>
  <c r="F68" i="1"/>
  <c r="F69" i="1"/>
  <c r="F71" i="1"/>
  <c r="F72" i="1"/>
  <c r="F65" i="1"/>
  <c r="F43" i="1"/>
  <c r="F44" i="1"/>
  <c r="F45" i="1"/>
  <c r="F46" i="1"/>
  <c r="F47" i="1"/>
  <c r="F42" i="1"/>
  <c r="F16" i="1"/>
  <c r="F17" i="1"/>
  <c r="F18" i="1"/>
  <c r="F15" i="1"/>
  <c r="F59" i="1" l="1"/>
  <c r="C124" i="1" s="1"/>
  <c r="F97" i="1"/>
  <c r="C127" i="1" s="1"/>
  <c r="F36" i="1"/>
  <c r="C122" i="1" s="1"/>
  <c r="F83" i="1"/>
  <c r="C126" i="1" s="1"/>
  <c r="F73" i="1"/>
  <c r="C125" i="1" s="1"/>
  <c r="F19" i="1"/>
  <c r="C121" i="1" s="1"/>
  <c r="F48" i="1"/>
  <c r="C123" i="1" s="1"/>
  <c r="C129" i="1"/>
  <c r="C130" i="1" l="1"/>
</calcChain>
</file>

<file path=xl/sharedStrings.xml><?xml version="1.0" encoding="utf-8"?>
<sst xmlns="http://schemas.openxmlformats.org/spreadsheetml/2006/main" count="194" uniqueCount="124">
  <si>
    <r>
      <t>PROJECT:</t>
    </r>
    <r>
      <rPr>
        <sz val="11"/>
        <color theme="1"/>
        <rFont val="Aptos Narrow"/>
        <family val="2"/>
        <scheme val="minor"/>
      </rPr>
      <t xml:space="preserve"> CORROSION CONTROL &amp; STRUCTURAL REHABILITATION (GT04 &amp; GT05)</t>
    </r>
  </si>
  <si>
    <r>
      <t>SECTION 2.2:</t>
    </r>
    <r>
      <rPr>
        <sz val="11"/>
        <color theme="1"/>
        <rFont val="Aptos Narrow"/>
        <family val="2"/>
        <scheme val="minor"/>
      </rPr>
      <t xml:space="preserve"> DETAILED COMMERCIAL BREAKDOWN (1,500m² BASELINE)</t>
    </r>
  </si>
  <si>
    <t>SECTION 2.2: DETAILED BILL OF QUANTITIES (BoQ)</t>
  </si>
  <si>
    <r>
      <t xml:space="preserve">This commercial proposal is structured to provide full transparency into material volumes, manpower density, and specialized equipment requirements. All calculations are based on the engineering baseline of </t>
    </r>
    <r>
      <rPr>
        <b/>
        <sz val="11"/>
        <color theme="1"/>
        <rFont val="Aptos Narrow"/>
        <family val="2"/>
        <scheme val="minor"/>
      </rPr>
      <t>1,500 m²</t>
    </r>
    <r>
      <rPr>
        <sz val="11"/>
        <color theme="1"/>
        <rFont val="Aptos Narrow"/>
        <family val="2"/>
        <scheme val="minor"/>
      </rPr>
      <t xml:space="preserve"> (inclusive of internal/external filter hoods, ducts, main enclosures, exhaust plenums, and ancillary blue tanks).</t>
    </r>
  </si>
  <si>
    <t>TABLE 1.0: PROJECT MOBILIZATION &amp; LOGISTICS</t>
  </si>
  <si>
    <t>S/N</t>
  </si>
  <si>
    <t>Item Description</t>
  </si>
  <si>
    <t>UOM</t>
  </si>
  <si>
    <t>QTY</t>
  </si>
  <si>
    <t>Rate (₦)</t>
  </si>
  <si>
    <t>Total Cost (₦)</t>
  </si>
  <si>
    <t>LS</t>
  </si>
  <si>
    <t>Freight &amp; Haulage: 5mm/3mm Steel Plates &amp; Rockwool</t>
  </si>
  <si>
    <t>Freight &amp; Haulage: 40 Tonnes of Abrasive Blasting Grit</t>
  </si>
  <si>
    <t>Site Setup: Laydown area securing &amp; Weather Protection</t>
  </si>
  <si>
    <t>SUBTOTAL: MOBILIZATION</t>
  </si>
  <si>
    <t>TABLE 2.0: PROJECT MANPOWER (16-MAN SEQUENTIAL TEAM)</t>
  </si>
  <si>
    <t>Personnel Category</t>
  </si>
  <si>
    <t>Qty</t>
  </si>
  <si>
    <t>Duration (Days)</t>
  </si>
  <si>
    <t>Project Coordinator / Lead Engineer</t>
  </si>
  <si>
    <t>QHSE Supervisor (ISPON Certified)</t>
  </si>
  <si>
    <t>QA/QC Inspector / NDT Level II</t>
  </si>
  <si>
    <t>Certified Structural Welders (AWS)</t>
  </si>
  <si>
    <t>Lead Painters &amp; Corrosion Technicians</t>
  </si>
  <si>
    <t>Mechanical Fitter (Panel/Insulation)</t>
  </si>
  <si>
    <t>Personnel Feeding &amp; Accommodation (Omoku)</t>
  </si>
  <si>
    <t>SUBTOTAL: MANPOWER</t>
  </si>
  <si>
    <t>TABLE 3.0: PHASE I: STRUCTURAL &amp; MECHANICAL (METAL)</t>
  </si>
  <si>
    <t>5mm Carbon Steel Plates (Air-Inlets)</t>
  </si>
  <si>
    <t>Sheet</t>
  </si>
  <si>
    <t>3mm Carbon Steel Plates (Panels/Roof)</t>
  </si>
  <si>
    <t>Low-Hydrogen Electrodes (7018/6010)</t>
  </si>
  <si>
    <t>Pkt</t>
  </si>
  <si>
    <t>Grinding/Cutting Discs &amp; Wire Brushes</t>
  </si>
  <si>
    <t>Lot</t>
  </si>
  <si>
    <r>
      <t>LOSS PREVENTION:</t>
    </r>
    <r>
      <rPr>
        <sz val="11"/>
        <color theme="1"/>
        <rFont val="Aptos Narrow"/>
        <family val="2"/>
        <scheme val="minor"/>
      </rPr>
      <t xml:space="preserve"> Industrial Gaskets &amp; Sealants</t>
    </r>
  </si>
  <si>
    <t>NDT Dye Penetrant Test Kits (Certification)</t>
  </si>
  <si>
    <t>Set</t>
  </si>
  <si>
    <t>SUBTOTAL: STRUCTURAL</t>
  </si>
  <si>
    <t>Abrasive Grit (High-Grade Silica Free)</t>
  </si>
  <si>
    <t>Tonne</t>
  </si>
  <si>
    <r>
      <t>Primer:</t>
    </r>
    <r>
      <rPr>
        <sz val="11"/>
        <color theme="1"/>
        <rFont val="Aptos Narrow"/>
        <family val="2"/>
        <scheme val="minor"/>
      </rPr>
      <t xml:space="preserve"> Interzinc 52 (Zinc Epoxy)</t>
    </r>
  </si>
  <si>
    <t>20L Drum</t>
  </si>
  <si>
    <r>
      <t>Finish:</t>
    </r>
    <r>
      <rPr>
        <sz val="11"/>
        <color theme="1"/>
        <rFont val="Aptos Narrow"/>
        <family val="2"/>
        <scheme val="minor"/>
      </rPr>
      <t xml:space="preserve"> Interthane 990 (White/Blue/Silver)</t>
    </r>
  </si>
  <si>
    <t>International Thinners (GTA 220)</t>
  </si>
  <si>
    <t>Diesel for Compressors (300L/day x 22 Days)</t>
  </si>
  <si>
    <t>Litre</t>
  </si>
  <si>
    <t>Consumables (Rollers, Masking, Rags, Detergent)</t>
  </si>
  <si>
    <t>PRICE VOLATILITY BUFFER (10% on Chemicals)</t>
  </si>
  <si>
    <t>SUBTOTAL: CORROSION CONTROL</t>
  </si>
  <si>
    <t>High-Density Rockwool Slabs (100kg/m³)</t>
  </si>
  <si>
    <t>m²</t>
  </si>
  <si>
    <t>Galvanized Wire Mesh (Heavy Gauge)</t>
  </si>
  <si>
    <t>Roll</t>
  </si>
  <si>
    <t>Galvanized Metal Retention Bands &amp; Rods</t>
  </si>
  <si>
    <t>Meter</t>
  </si>
  <si>
    <t>Heavy-Duty Structural Rivets (Stainless/Galv)</t>
  </si>
  <si>
    <t>SUBTOTAL: INSULATION</t>
  </si>
  <si>
    <t>Rate (₦/Day)</t>
  </si>
  <si>
    <t>Day</t>
  </si>
  <si>
    <t>Abrasive Blasting Pot &amp; Hose Sets</t>
  </si>
  <si>
    <t>Airless Spray Machines (High-Ratio)</t>
  </si>
  <si>
    <t>Scaffolding Inventory (Components &amp; Boards)</t>
  </si>
  <si>
    <t>1-Ton Pulley System (Block &amp; Tackle)</t>
  </si>
  <si>
    <t>Industrial Trampolines (Weather/Sand Contain)</t>
  </si>
  <si>
    <t>SUBTOTAL: PLANT &amp; TOOLS</t>
  </si>
  <si>
    <t>Site Cleanup: Removal of 40T spent grit &amp; debris</t>
  </si>
  <si>
    <t>Hazardous Waste Disposal (Degraded Rockwool)</t>
  </si>
  <si>
    <t>Documentation: Final Technical Dossier &amp; JCC</t>
  </si>
  <si>
    <t>Demobilization of Personnel &amp; Heavy Equipment</t>
  </si>
  <si>
    <t>SUBTOTAL: DEMOBILIZATION</t>
  </si>
  <si>
    <t>COMMERCIAL SUMMARY</t>
  </si>
  <si>
    <t>CATEGORY</t>
  </si>
  <si>
    <t>DESCRIPTION</t>
  </si>
  <si>
    <t>TOTAL AMOUNT (₦)</t>
  </si>
  <si>
    <t>A</t>
  </si>
  <si>
    <t>B</t>
  </si>
  <si>
    <t>Contingency Fund (5% on Execution)</t>
  </si>
  <si>
    <t>C</t>
  </si>
  <si>
    <t>GRAND TOTAL</t>
  </si>
  <si>
    <t>BID TOTAL (EXCL. VAT)</t>
  </si>
  <si>
    <t>Local Labor: General</t>
  </si>
  <si>
    <t>Logistics Supervisor</t>
  </si>
  <si>
    <t xml:space="preserve">Local Labor: Sand Recovery Crew </t>
  </si>
  <si>
    <t>Mobilization of 18-man crew &amp; logistics to Omoku</t>
  </si>
  <si>
    <t>Certified Scaffolders (Safety Tagging)</t>
  </si>
  <si>
    <t>TABLE 4.0: SCAFFOLDING MATERIAL &amp; SERVICES (12-SET INVENTORY)</t>
  </si>
  <si>
    <t>Scaffolding Sets (Pipe/Coupler/Base) Hire</t>
  </si>
  <si>
    <t>4m Platform Boards (Standard Industrial)</t>
  </si>
  <si>
    <t>Pcs</t>
  </si>
  <si>
    <t>Full Body Safety Harness Belts (Certified)</t>
  </si>
  <si>
    <t>Scaffolding Logistics (Conveying to Omoku site)</t>
  </si>
  <si>
    <t>Scaffolding Modification/Migration (GT04 to GT05)</t>
  </si>
  <si>
    <t>SUBTOTAL: SCAFFOLDING</t>
  </si>
  <si>
    <t>Rate (₦) per day</t>
  </si>
  <si>
    <t>Total Cost (₦) (22 days)</t>
  </si>
  <si>
    <t>TABLE 5.0: PHASE II &amp; III: CORROSION CONTROL (1,500m²)</t>
  </si>
  <si>
    <t>TABLE 6.0: PHASE IV: THERMAL INSULATION REHABILITATION</t>
  </si>
  <si>
    <t>TABLE 7.0: PLANT, TOOLING &amp; ACCESS HIRE</t>
  </si>
  <si>
    <t>TABLE 8.0: PROJECT DEMOBILIZATION &amp; CLOSE-OUT</t>
  </si>
  <si>
    <t>Power-tool Wire Wheels (for Motors &amp; Blue Tank)</t>
  </si>
  <si>
    <t xml:space="preserve">Industrial Air Compressor (750 CFM) </t>
  </si>
  <si>
    <t>Heavy-Duty Rivet Guns (Lazy-Tong) &amp; Magnetic Drills</t>
  </si>
  <si>
    <t>Specialized PPE (Blaster/Welder Hoods ) and all personnel</t>
  </si>
  <si>
    <t>D</t>
  </si>
  <si>
    <t>7.5% VAT</t>
  </si>
  <si>
    <t>TOTAL EXECUTION COST (TABLES 1-8)</t>
  </si>
  <si>
    <t>E</t>
  </si>
  <si>
    <t>F</t>
  </si>
  <si>
    <t>G</t>
  </si>
  <si>
    <t>H</t>
  </si>
  <si>
    <t>INDIRECT COSTS</t>
  </si>
  <si>
    <t xml:space="preserve">S/N </t>
  </si>
  <si>
    <t xml:space="preserve">Cost Item </t>
  </si>
  <si>
    <t xml:space="preserve">Description </t>
  </si>
  <si>
    <t>Cost (₦</t>
  </si>
  <si>
    <t>Community Fees</t>
  </si>
  <si>
    <t>I</t>
  </si>
  <si>
    <t>Subtotal – Indirect Costs</t>
  </si>
  <si>
    <t>J</t>
  </si>
  <si>
    <t>SUBTOTAL: INDIRECT COST</t>
  </si>
  <si>
    <t>k</t>
  </si>
  <si>
    <r>
      <t>DOCUMENT REF:</t>
    </r>
    <r>
      <rPr>
        <sz val="11"/>
        <color theme="1"/>
        <rFont val="Aptos Narrow"/>
        <family val="2"/>
        <scheme val="minor"/>
      </rPr>
      <t xml:space="preserve"> SEESL/FIPL/OM/GT-REHAB/2026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</si>
</sst>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Inter"/>
      <family val="2"/>
    </font>
    <font>
      <b/>
      <sz val="10"/>
      <color theme="1"/>
      <name val="Aptos Narrow"/>
      <family val="2"/>
      <scheme val="minor"/>
    </font>
    <font>
      <b/>
      <sz val="11"/>
      <color rgb="FF000000"/>
      <name val="TimesNewRomanPS-BoldMT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3.5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8">
    <xf numFmtId="0" fontId="0" fillId="0" borderId="0" xfId="0"/>
    <xf numFmtId="0" fontId="3" fillId="0" borderId="0" xfId="0" applyFont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12" xfId="0" applyBorder="1" applyAlignment="1">
      <alignment vertical="center" wrapText="1"/>
    </xf>
    <xf numFmtId="3" fontId="0" fillId="0" borderId="12" xfId="0" applyNumberFormat="1" applyBorder="1" applyAlignment="1">
      <alignment vertical="center" wrapText="1"/>
    </xf>
    <xf numFmtId="0" fontId="0" fillId="0" borderId="12" xfId="0" applyBorder="1"/>
    <xf numFmtId="0" fontId="3" fillId="0" borderId="12" xfId="0" applyFont="1" applyBorder="1" applyAlignment="1">
      <alignment vertical="center" wrapText="1"/>
    </xf>
    <xf numFmtId="3" fontId="3" fillId="0" borderId="12" xfId="0" applyNumberFormat="1" applyFont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3" fontId="0" fillId="0" borderId="13" xfId="0" applyNumberFormat="1" applyBorder="1" applyAlignment="1">
      <alignment vertical="center" wrapText="1"/>
    </xf>
    <xf numFmtId="0" fontId="0" fillId="0" borderId="13" xfId="0" applyBorder="1"/>
    <xf numFmtId="0" fontId="3" fillId="2" borderId="14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3" fillId="2" borderId="16" xfId="0" applyFont="1" applyFill="1" applyBorder="1"/>
    <xf numFmtId="0" fontId="0" fillId="0" borderId="17" xfId="0" applyBorder="1" applyAlignment="1">
      <alignment vertical="center" wrapText="1"/>
    </xf>
    <xf numFmtId="3" fontId="0" fillId="0" borderId="17" xfId="0" applyNumberFormat="1" applyBorder="1" applyAlignment="1">
      <alignment vertical="center" wrapText="1"/>
    </xf>
    <xf numFmtId="0" fontId="0" fillId="0" borderId="17" xfId="0" applyBorder="1"/>
    <xf numFmtId="0" fontId="3" fillId="3" borderId="14" xfId="0" applyFont="1" applyFill="1" applyBorder="1" applyAlignment="1">
      <alignment vertical="center" wrapText="1"/>
    </xf>
    <xf numFmtId="3" fontId="3" fillId="3" borderId="15" xfId="0" applyNumberFormat="1" applyFont="1" applyFill="1" applyBorder="1" applyAlignment="1">
      <alignment vertical="center" wrapText="1"/>
    </xf>
    <xf numFmtId="0" fontId="0" fillId="3" borderId="16" xfId="0" applyFill="1" applyBorder="1"/>
    <xf numFmtId="0" fontId="0" fillId="0" borderId="10" xfId="0" applyBorder="1"/>
    <xf numFmtId="0" fontId="0" fillId="2" borderId="11" xfId="0" applyFill="1" applyBorder="1"/>
    <xf numFmtId="3" fontId="0" fillId="0" borderId="20" xfId="0" applyNumberFormat="1" applyBorder="1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3" borderId="11" xfId="0" applyFill="1" applyBorder="1"/>
    <xf numFmtId="0" fontId="3" fillId="2" borderId="21" xfId="0" applyFont="1" applyFill="1" applyBorder="1" applyAlignment="1">
      <alignment vertical="center" wrapText="1"/>
    </xf>
    <xf numFmtId="0" fontId="3" fillId="2" borderId="11" xfId="0" applyFont="1" applyFill="1" applyBorder="1"/>
    <xf numFmtId="0" fontId="0" fillId="0" borderId="12" xfId="0" applyFont="1" applyFill="1" applyBorder="1" applyAlignment="1">
      <alignment horizontal="right" vertical="center" wrapText="1" indent="1"/>
    </xf>
    <xf numFmtId="0" fontId="0" fillId="0" borderId="12" xfId="0" applyFont="1" applyFill="1" applyBorder="1" applyAlignment="1">
      <alignment horizontal="left" vertical="center" wrapText="1" indent="1"/>
    </xf>
    <xf numFmtId="3" fontId="0" fillId="0" borderId="12" xfId="0" applyNumberFormat="1" applyFont="1" applyFill="1" applyBorder="1" applyAlignment="1">
      <alignment horizontal="left" vertical="center" wrapText="1" inden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left" vertical="center" wrapText="1" indent="1"/>
    </xf>
    <xf numFmtId="0" fontId="0" fillId="0" borderId="12" xfId="0" applyFont="1" applyBorder="1" applyAlignment="1">
      <alignment horizontal="left" vertical="center" wrapText="1" indent="1"/>
    </xf>
    <xf numFmtId="3" fontId="0" fillId="0" borderId="12" xfId="0" applyNumberFormat="1" applyFont="1" applyBorder="1" applyAlignment="1">
      <alignment horizontal="left" vertical="center" wrapText="1" indent="1"/>
    </xf>
    <xf numFmtId="0" fontId="0" fillId="0" borderId="17" xfId="0" applyFont="1" applyBorder="1" applyAlignment="1">
      <alignment horizontal="left" vertical="center" wrapText="1" indent="1"/>
    </xf>
    <xf numFmtId="3" fontId="0" fillId="0" borderId="17" xfId="0" applyNumberFormat="1" applyFont="1" applyBorder="1" applyAlignment="1">
      <alignment horizontal="left" vertical="center" wrapText="1" indent="1"/>
    </xf>
    <xf numFmtId="0" fontId="3" fillId="3" borderId="14" xfId="0" applyFont="1" applyFill="1" applyBorder="1" applyAlignment="1">
      <alignment horizontal="left" vertical="center" wrapText="1" indent="1"/>
    </xf>
    <xf numFmtId="3" fontId="3" fillId="3" borderId="15" xfId="0" applyNumberFormat="1" applyFont="1" applyFill="1" applyBorder="1" applyAlignment="1">
      <alignment horizontal="left" vertical="center" wrapText="1" indent="1"/>
    </xf>
    <xf numFmtId="0" fontId="0" fillId="3" borderId="1" xfId="0" applyFill="1" applyBorder="1"/>
    <xf numFmtId="0" fontId="3" fillId="3" borderId="22" xfId="0" applyFont="1" applyFill="1" applyBorder="1" applyAlignment="1">
      <alignment vertical="center" wrapText="1"/>
    </xf>
    <xf numFmtId="3" fontId="3" fillId="3" borderId="26" xfId="0" applyNumberFormat="1" applyFont="1" applyFill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3" fillId="2" borderId="18" xfId="0" applyFont="1" applyFill="1" applyBorder="1" applyAlignment="1">
      <alignment vertical="center" wrapText="1"/>
    </xf>
    <xf numFmtId="0" fontId="3" fillId="2" borderId="1" xfId="0" applyFont="1" applyFill="1" applyBorder="1"/>
    <xf numFmtId="0" fontId="9" fillId="0" borderId="0" xfId="0" applyFont="1"/>
    <xf numFmtId="0" fontId="3" fillId="2" borderId="13" xfId="0" applyFont="1" applyFill="1" applyBorder="1" applyAlignment="1">
      <alignment vertical="center" wrapText="1"/>
    </xf>
    <xf numFmtId="0" fontId="3" fillId="2" borderId="13" xfId="0" applyFont="1" applyFill="1" applyBorder="1"/>
    <xf numFmtId="0" fontId="3" fillId="7" borderId="12" xfId="0" applyFont="1" applyFill="1" applyBorder="1" applyAlignment="1">
      <alignment vertical="center" wrapText="1"/>
    </xf>
    <xf numFmtId="3" fontId="3" fillId="7" borderId="12" xfId="0" applyNumberFormat="1" applyFont="1" applyFill="1" applyBorder="1" applyAlignment="1">
      <alignment vertical="center" wrapText="1"/>
    </xf>
    <xf numFmtId="0" fontId="3" fillId="8" borderId="12" xfId="0" applyFont="1" applyFill="1" applyBorder="1" applyAlignment="1">
      <alignment vertical="center" wrapText="1"/>
    </xf>
    <xf numFmtId="0" fontId="8" fillId="8" borderId="12" xfId="0" applyFont="1" applyFill="1" applyBorder="1" applyAlignment="1">
      <alignment vertical="center" wrapText="1"/>
    </xf>
    <xf numFmtId="3" fontId="3" fillId="8" borderId="12" xfId="0" applyNumberFormat="1" applyFont="1" applyFill="1" applyBorder="1" applyAlignment="1">
      <alignment vertical="center" wrapText="1"/>
    </xf>
    <xf numFmtId="0" fontId="10" fillId="2" borderId="5" xfId="0" applyFont="1" applyFill="1" applyBorder="1"/>
    <xf numFmtId="0" fontId="10" fillId="2" borderId="0" xfId="0" applyFont="1" applyFill="1" applyBorder="1"/>
    <xf numFmtId="0" fontId="10" fillId="2" borderId="6" xfId="0" applyFont="1" applyFill="1" applyBorder="1"/>
    <xf numFmtId="0" fontId="0" fillId="0" borderId="22" xfId="0" applyFont="1" applyBorder="1"/>
    <xf numFmtId="0" fontId="11" fillId="0" borderId="23" xfId="0" applyFont="1" applyBorder="1"/>
    <xf numFmtId="0" fontId="0" fillId="0" borderId="23" xfId="0" applyFont="1" applyBorder="1"/>
    <xf numFmtId="43" fontId="0" fillId="0" borderId="25" xfId="1" applyFont="1" applyBorder="1"/>
    <xf numFmtId="0" fontId="3" fillId="10" borderId="12" xfId="0" applyFont="1" applyFill="1" applyBorder="1" applyAlignment="1">
      <alignment vertical="center" wrapText="1"/>
    </xf>
    <xf numFmtId="0" fontId="3" fillId="3" borderId="9" xfId="0" applyFont="1" applyFill="1" applyBorder="1"/>
    <xf numFmtId="43" fontId="3" fillId="3" borderId="16" xfId="1" applyFont="1" applyFill="1" applyBorder="1"/>
    <xf numFmtId="0" fontId="0" fillId="0" borderId="7" xfId="0" applyFont="1" applyBorder="1"/>
    <xf numFmtId="0" fontId="0" fillId="0" borderId="8" xfId="0" applyFont="1" applyBorder="1"/>
    <xf numFmtId="43" fontId="0" fillId="0" borderId="28" xfId="1" applyFont="1" applyBorder="1"/>
    <xf numFmtId="0" fontId="11" fillId="0" borderId="8" xfId="0" applyFont="1" applyBorder="1" applyAlignment="1">
      <alignment wrapText="1"/>
    </xf>
    <xf numFmtId="0" fontId="11" fillId="8" borderId="0" xfId="0" applyFont="1" applyFill="1" applyAlignment="1">
      <alignment wrapText="1"/>
    </xf>
    <xf numFmtId="0" fontId="2" fillId="11" borderId="12" xfId="0" applyFont="1" applyFill="1" applyBorder="1" applyAlignment="1">
      <alignment vertical="center" wrapText="1"/>
    </xf>
    <xf numFmtId="3" fontId="2" fillId="11" borderId="12" xfId="0" applyNumberFormat="1" applyFont="1" applyFill="1" applyBorder="1" applyAlignment="1">
      <alignment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 wrapText="1"/>
    </xf>
    <xf numFmtId="0" fontId="12" fillId="9" borderId="9" xfId="0" applyFont="1" applyFill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top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6002-6012-4015-9B1A-2A7B0BF55E5B}">
  <dimension ref="A2:G137"/>
  <sheetViews>
    <sheetView tabSelected="1" topLeftCell="A60" workbookViewId="0">
      <selection activeCell="B34" sqref="B34"/>
    </sheetView>
  </sheetViews>
  <sheetFormatPr defaultRowHeight="14.5"/>
  <cols>
    <col min="1" max="1" width="10.08984375" customWidth="1"/>
    <col min="2" max="2" width="16.54296875" customWidth="1"/>
    <col min="3" max="3" width="11.08984375" customWidth="1"/>
    <col min="4" max="4" width="16.08984375" bestFit="1" customWidth="1"/>
    <col min="5" max="5" width="9.6328125" bestFit="1" customWidth="1"/>
    <col min="6" max="6" width="11" customWidth="1"/>
  </cols>
  <sheetData>
    <row r="2" spans="1:7">
      <c r="A2" s="100" t="s">
        <v>123</v>
      </c>
      <c r="B2" s="100"/>
      <c r="C2" s="100"/>
      <c r="D2" s="100"/>
      <c r="E2" s="100"/>
      <c r="F2" s="100"/>
      <c r="G2" s="100"/>
    </row>
    <row r="3" spans="1:7" ht="24.5" customHeight="1">
      <c r="A3" s="101" t="s">
        <v>0</v>
      </c>
      <c r="B3" s="101"/>
      <c r="C3" s="101"/>
      <c r="D3" s="101"/>
      <c r="E3" s="101"/>
      <c r="F3" s="101"/>
      <c r="G3" s="101"/>
    </row>
    <row r="4" spans="1:7" ht="28" customHeight="1">
      <c r="A4" s="100" t="s">
        <v>1</v>
      </c>
      <c r="B4" s="100"/>
      <c r="C4" s="100"/>
      <c r="D4" s="100"/>
      <c r="E4" s="100"/>
      <c r="F4" s="100"/>
      <c r="G4" s="100"/>
    </row>
    <row r="8" spans="1:7" ht="52.5" customHeight="1">
      <c r="A8" s="102" t="s">
        <v>2</v>
      </c>
      <c r="B8" s="103"/>
      <c r="C8" s="103"/>
      <c r="D8" s="103"/>
      <c r="E8" s="103"/>
      <c r="F8" s="103"/>
      <c r="G8" s="103"/>
    </row>
    <row r="10" spans="1:7" ht="35" customHeight="1">
      <c r="A10" s="104" t="s">
        <v>3</v>
      </c>
      <c r="B10" s="104"/>
      <c r="C10" s="104"/>
      <c r="D10" s="104"/>
      <c r="E10" s="104"/>
      <c r="F10" s="104"/>
      <c r="G10" s="104"/>
    </row>
    <row r="11" spans="1:7" ht="15" thickBot="1"/>
    <row r="12" spans="1:7" ht="36.5" customHeight="1">
      <c r="A12" s="105" t="s">
        <v>4</v>
      </c>
      <c r="B12" s="106"/>
      <c r="C12" s="106"/>
      <c r="D12" s="106"/>
      <c r="E12" s="106"/>
      <c r="F12" s="106"/>
      <c r="G12" s="107"/>
    </row>
    <row r="13" spans="1:7" ht="15" thickBot="1">
      <c r="A13" s="2"/>
      <c r="B13" s="3"/>
      <c r="C13" s="3"/>
      <c r="D13" s="3"/>
      <c r="E13" s="3"/>
      <c r="F13" s="3"/>
      <c r="G13" s="4"/>
    </row>
    <row r="14" spans="1:7" ht="29.5" thickBot="1">
      <c r="A14" s="14" t="s">
        <v>5</v>
      </c>
      <c r="B14" s="15" t="s">
        <v>6</v>
      </c>
      <c r="C14" s="15" t="s">
        <v>7</v>
      </c>
      <c r="D14" s="15" t="s">
        <v>8</v>
      </c>
      <c r="E14" s="15" t="s">
        <v>9</v>
      </c>
      <c r="F14" s="15" t="s">
        <v>10</v>
      </c>
      <c r="G14" s="16"/>
    </row>
    <row r="15" spans="1:7" ht="43.5">
      <c r="A15" s="11">
        <v>1.1000000000000001</v>
      </c>
      <c r="B15" s="11" t="s">
        <v>85</v>
      </c>
      <c r="C15" s="11" t="s">
        <v>11</v>
      </c>
      <c r="D15" s="11">
        <v>1</v>
      </c>
      <c r="E15" s="12">
        <v>950000</v>
      </c>
      <c r="F15" s="12">
        <f>(E15*D15)</f>
        <v>950000</v>
      </c>
      <c r="G15" s="13"/>
    </row>
    <row r="16" spans="1:7" ht="43.5">
      <c r="A16" s="5">
        <v>1.2</v>
      </c>
      <c r="B16" s="5" t="s">
        <v>12</v>
      </c>
      <c r="C16" s="5" t="s">
        <v>11</v>
      </c>
      <c r="D16" s="5">
        <v>1</v>
      </c>
      <c r="E16" s="6">
        <v>450000</v>
      </c>
      <c r="F16" s="12">
        <f t="shared" ref="F16:F18" si="0">(E16*D16)</f>
        <v>450000</v>
      </c>
      <c r="G16" s="7"/>
    </row>
    <row r="17" spans="1:7" ht="58">
      <c r="A17" s="5">
        <v>1.3</v>
      </c>
      <c r="B17" s="5" t="s">
        <v>13</v>
      </c>
      <c r="C17" s="5" t="s">
        <v>11</v>
      </c>
      <c r="D17" s="5">
        <v>1</v>
      </c>
      <c r="E17" s="6">
        <v>850000</v>
      </c>
      <c r="F17" s="12">
        <f t="shared" si="0"/>
        <v>850000</v>
      </c>
      <c r="G17" s="7"/>
    </row>
    <row r="18" spans="1:7" ht="73" thickBot="1">
      <c r="A18" s="17">
        <v>1.4</v>
      </c>
      <c r="B18" s="17" t="s">
        <v>14</v>
      </c>
      <c r="C18" s="17" t="s">
        <v>11</v>
      </c>
      <c r="D18" s="17">
        <v>1</v>
      </c>
      <c r="E18" s="18">
        <v>400000</v>
      </c>
      <c r="F18" s="12">
        <f t="shared" si="0"/>
        <v>400000</v>
      </c>
      <c r="G18" s="19"/>
    </row>
    <row r="19" spans="1:7" ht="29.5" customHeight="1" thickBot="1">
      <c r="A19" s="20">
        <v>1.5</v>
      </c>
      <c r="B19" s="76" t="s">
        <v>15</v>
      </c>
      <c r="C19" s="77"/>
      <c r="D19" s="77"/>
      <c r="E19" s="78"/>
      <c r="F19" s="21">
        <f>SUM(F15:F18)</f>
        <v>2650000</v>
      </c>
      <c r="G19" s="22"/>
    </row>
    <row r="22" spans="1:7" ht="23.5" customHeight="1">
      <c r="A22" s="96" t="s">
        <v>16</v>
      </c>
      <c r="B22" s="96"/>
      <c r="C22" s="96"/>
      <c r="D22" s="96"/>
      <c r="E22" s="96"/>
      <c r="F22" s="96"/>
      <c r="G22" s="96"/>
    </row>
    <row r="23" spans="1:7">
      <c r="A23" s="3"/>
      <c r="B23" s="3"/>
      <c r="C23" s="3"/>
      <c r="D23" s="3"/>
      <c r="E23" s="3"/>
      <c r="F23" s="3"/>
      <c r="G23" s="3"/>
    </row>
    <row r="24" spans="1:7" ht="33.5" customHeight="1">
      <c r="A24" s="52" t="s">
        <v>5</v>
      </c>
      <c r="B24" s="52" t="s">
        <v>17</v>
      </c>
      <c r="C24" s="52" t="s">
        <v>18</v>
      </c>
      <c r="D24" s="52" t="s">
        <v>19</v>
      </c>
      <c r="E24" s="52" t="s">
        <v>9</v>
      </c>
      <c r="F24" s="52" t="s">
        <v>10</v>
      </c>
      <c r="G24" s="53"/>
    </row>
    <row r="25" spans="1:7" ht="43.5">
      <c r="A25" s="5">
        <v>2.1</v>
      </c>
      <c r="B25" s="5" t="s">
        <v>20</v>
      </c>
      <c r="C25" s="5">
        <v>1</v>
      </c>
      <c r="D25" s="5">
        <v>22</v>
      </c>
      <c r="E25" s="6">
        <v>40000</v>
      </c>
      <c r="F25" s="6">
        <f>(E25*D25)*C25</f>
        <v>880000</v>
      </c>
      <c r="G25" s="7"/>
    </row>
    <row r="26" spans="1:7" ht="29">
      <c r="A26" s="5">
        <v>2.2000000000000002</v>
      </c>
      <c r="B26" s="5" t="s">
        <v>21</v>
      </c>
      <c r="C26" s="5">
        <v>1</v>
      </c>
      <c r="D26" s="5">
        <v>22</v>
      </c>
      <c r="E26" s="6">
        <v>38000</v>
      </c>
      <c r="F26" s="6">
        <f t="shared" ref="F26:F35" si="1">(E26*D26)*C26</f>
        <v>836000</v>
      </c>
      <c r="G26" s="7"/>
    </row>
    <row r="27" spans="1:7" ht="29">
      <c r="A27" s="5">
        <v>2.2999999999999998</v>
      </c>
      <c r="B27" s="5" t="s">
        <v>22</v>
      </c>
      <c r="C27" s="5">
        <v>1</v>
      </c>
      <c r="D27" s="5">
        <v>22</v>
      </c>
      <c r="E27" s="6">
        <v>60000</v>
      </c>
      <c r="F27" s="6">
        <f t="shared" si="1"/>
        <v>1320000</v>
      </c>
      <c r="G27" s="7"/>
    </row>
    <row r="28" spans="1:7" ht="29">
      <c r="A28" s="5">
        <v>2.4</v>
      </c>
      <c r="B28" s="5" t="s">
        <v>23</v>
      </c>
      <c r="C28" s="5">
        <v>2</v>
      </c>
      <c r="D28" s="5">
        <v>22</v>
      </c>
      <c r="E28" s="6">
        <v>40000</v>
      </c>
      <c r="F28" s="6">
        <f t="shared" si="1"/>
        <v>1760000</v>
      </c>
      <c r="G28" s="7"/>
    </row>
    <row r="29" spans="1:7" ht="43.5">
      <c r="A29" s="5">
        <v>2.5</v>
      </c>
      <c r="B29" s="5" t="s">
        <v>24</v>
      </c>
      <c r="C29" s="5">
        <v>2</v>
      </c>
      <c r="D29" s="5">
        <v>22</v>
      </c>
      <c r="E29" s="6">
        <v>40000</v>
      </c>
      <c r="F29" s="6">
        <f>(E29*D29)*C29</f>
        <v>1760000</v>
      </c>
      <c r="G29" s="7"/>
    </row>
    <row r="30" spans="1:7" ht="29">
      <c r="A30" s="5">
        <v>2.6</v>
      </c>
      <c r="B30" s="5" t="s">
        <v>25</v>
      </c>
      <c r="C30" s="5">
        <v>1</v>
      </c>
      <c r="D30" s="5">
        <v>22</v>
      </c>
      <c r="E30" s="6">
        <v>40000</v>
      </c>
      <c r="F30" s="6">
        <f t="shared" si="1"/>
        <v>880000</v>
      </c>
      <c r="G30" s="7"/>
    </row>
    <row r="31" spans="1:7" ht="27" customHeight="1">
      <c r="A31" s="32">
        <v>2.7</v>
      </c>
      <c r="B31" s="33" t="s">
        <v>86</v>
      </c>
      <c r="C31" s="32">
        <v>2</v>
      </c>
      <c r="D31" s="32">
        <v>22</v>
      </c>
      <c r="E31" s="34">
        <v>30000</v>
      </c>
      <c r="F31" s="6">
        <f t="shared" si="1"/>
        <v>1320000</v>
      </c>
      <c r="G31" s="7"/>
    </row>
    <row r="32" spans="1:7" ht="29">
      <c r="A32" s="5">
        <v>2.8</v>
      </c>
      <c r="B32" s="5" t="s">
        <v>84</v>
      </c>
      <c r="C32" s="5">
        <v>2</v>
      </c>
      <c r="D32" s="5">
        <v>22</v>
      </c>
      <c r="E32" s="6">
        <v>15000</v>
      </c>
      <c r="F32" s="6">
        <f>(E32*D32)*C32</f>
        <v>660000</v>
      </c>
      <c r="G32" s="7"/>
    </row>
    <row r="33" spans="1:7" ht="29">
      <c r="A33" s="5">
        <v>2.9</v>
      </c>
      <c r="B33" s="5" t="s">
        <v>82</v>
      </c>
      <c r="C33" s="5">
        <v>6</v>
      </c>
      <c r="D33" s="5">
        <v>22</v>
      </c>
      <c r="E33" s="6">
        <v>15000</v>
      </c>
      <c r="F33" s="6">
        <f t="shared" si="1"/>
        <v>1980000</v>
      </c>
      <c r="G33" s="7"/>
    </row>
    <row r="34" spans="1:7" ht="26.5" customHeight="1">
      <c r="A34" s="5">
        <v>2.1</v>
      </c>
      <c r="B34" s="17" t="s">
        <v>83</v>
      </c>
      <c r="C34" s="17">
        <v>1</v>
      </c>
      <c r="D34" s="17">
        <v>22</v>
      </c>
      <c r="E34" s="18">
        <v>20000</v>
      </c>
      <c r="F34" s="6">
        <f t="shared" si="1"/>
        <v>440000</v>
      </c>
      <c r="G34" s="19"/>
    </row>
    <row r="35" spans="1:7" ht="44" thickBot="1">
      <c r="A35" s="17">
        <v>2.11</v>
      </c>
      <c r="B35" s="17" t="s">
        <v>26</v>
      </c>
      <c r="C35" s="17">
        <v>19</v>
      </c>
      <c r="D35" s="17">
        <v>22</v>
      </c>
      <c r="E35" s="18">
        <v>17000</v>
      </c>
      <c r="F35" s="6">
        <f t="shared" si="1"/>
        <v>7106000</v>
      </c>
      <c r="G35" s="19"/>
    </row>
    <row r="36" spans="1:7" ht="29" customHeight="1" thickBot="1">
      <c r="A36" s="20">
        <v>2.12</v>
      </c>
      <c r="B36" s="76" t="s">
        <v>27</v>
      </c>
      <c r="C36" s="77"/>
      <c r="D36" s="77"/>
      <c r="E36" s="78"/>
      <c r="F36" s="21">
        <f>SUM(F25:F35)</f>
        <v>18942000</v>
      </c>
      <c r="G36" s="22"/>
    </row>
    <row r="38" spans="1:7" ht="15" thickBot="1"/>
    <row r="39" spans="1:7" ht="19" thickBot="1">
      <c r="A39" s="97" t="s">
        <v>28</v>
      </c>
      <c r="B39" s="98"/>
      <c r="C39" s="98"/>
      <c r="D39" s="98"/>
      <c r="E39" s="98"/>
      <c r="F39" s="98"/>
      <c r="G39" s="99"/>
    </row>
    <row r="40" spans="1:7" ht="15" thickBot="1">
      <c r="A40" s="2"/>
      <c r="B40" s="3"/>
      <c r="C40" s="3"/>
      <c r="D40" s="3"/>
      <c r="E40" s="3"/>
      <c r="F40" s="3"/>
      <c r="G40" s="4"/>
    </row>
    <row r="41" spans="1:7" ht="29.5" thickBot="1">
      <c r="A41" s="14" t="s">
        <v>5</v>
      </c>
      <c r="B41" s="15" t="s">
        <v>6</v>
      </c>
      <c r="C41" s="15" t="s">
        <v>7</v>
      </c>
      <c r="D41" s="15" t="s">
        <v>8</v>
      </c>
      <c r="E41" s="15" t="s">
        <v>9</v>
      </c>
      <c r="F41" s="15" t="s">
        <v>10</v>
      </c>
      <c r="G41" s="16"/>
    </row>
    <row r="42" spans="1:7" ht="29">
      <c r="A42" s="11">
        <v>3.1</v>
      </c>
      <c r="B42" s="11" t="s">
        <v>29</v>
      </c>
      <c r="C42" s="11" t="s">
        <v>30</v>
      </c>
      <c r="D42" s="11">
        <v>20</v>
      </c>
      <c r="E42" s="12">
        <v>270000</v>
      </c>
      <c r="F42" s="12">
        <f>(E42*D42)</f>
        <v>5400000</v>
      </c>
      <c r="G42" s="13"/>
    </row>
    <row r="43" spans="1:7" ht="43.5">
      <c r="A43" s="5">
        <v>3.2</v>
      </c>
      <c r="B43" s="5" t="s">
        <v>31</v>
      </c>
      <c r="C43" s="5" t="s">
        <v>30</v>
      </c>
      <c r="D43" s="5">
        <v>26</v>
      </c>
      <c r="E43" s="6">
        <v>150000</v>
      </c>
      <c r="F43" s="12">
        <f t="shared" ref="F43:F47" si="2">(E43*D43)</f>
        <v>3900000</v>
      </c>
      <c r="G43" s="7"/>
    </row>
    <row r="44" spans="1:7" ht="43.5">
      <c r="A44" s="5">
        <v>3.3</v>
      </c>
      <c r="B44" s="5" t="s">
        <v>32</v>
      </c>
      <c r="C44" s="5" t="s">
        <v>33</v>
      </c>
      <c r="D44" s="5">
        <v>9</v>
      </c>
      <c r="E44" s="6">
        <v>52000</v>
      </c>
      <c r="F44" s="12">
        <f t="shared" si="2"/>
        <v>468000</v>
      </c>
      <c r="G44" s="7"/>
    </row>
    <row r="45" spans="1:7" ht="43.5">
      <c r="A45" s="5">
        <v>3.4</v>
      </c>
      <c r="B45" s="5" t="s">
        <v>34</v>
      </c>
      <c r="C45" s="5" t="s">
        <v>35</v>
      </c>
      <c r="D45" s="5">
        <v>1</v>
      </c>
      <c r="E45" s="6">
        <v>280000</v>
      </c>
      <c r="F45" s="12">
        <f t="shared" si="2"/>
        <v>280000</v>
      </c>
      <c r="G45" s="7"/>
    </row>
    <row r="46" spans="1:7" ht="58">
      <c r="A46" s="5">
        <v>3.5</v>
      </c>
      <c r="B46" s="8" t="s">
        <v>36</v>
      </c>
      <c r="C46" s="5" t="s">
        <v>11</v>
      </c>
      <c r="D46" s="5">
        <v>1</v>
      </c>
      <c r="E46" s="6">
        <v>980000</v>
      </c>
      <c r="F46" s="12">
        <f t="shared" si="2"/>
        <v>980000</v>
      </c>
      <c r="G46" s="7"/>
    </row>
    <row r="47" spans="1:7" ht="44" thickBot="1">
      <c r="A47" s="17">
        <v>3.6</v>
      </c>
      <c r="B47" s="17" t="s">
        <v>37</v>
      </c>
      <c r="C47" s="17" t="s">
        <v>38</v>
      </c>
      <c r="D47" s="17">
        <v>2</v>
      </c>
      <c r="E47" s="18">
        <v>580000</v>
      </c>
      <c r="F47" s="25">
        <f t="shared" si="2"/>
        <v>1160000</v>
      </c>
      <c r="G47" s="19"/>
    </row>
    <row r="48" spans="1:7" ht="29" customHeight="1" thickBot="1">
      <c r="A48" s="20">
        <v>3.7</v>
      </c>
      <c r="B48" s="76" t="s">
        <v>39</v>
      </c>
      <c r="C48" s="77"/>
      <c r="D48" s="77"/>
      <c r="E48" s="78"/>
      <c r="F48" s="21">
        <f>SUM(F42:F47)</f>
        <v>12188000</v>
      </c>
      <c r="G48" s="22"/>
    </row>
    <row r="50" spans="1:7" ht="15" thickBot="1"/>
    <row r="51" spans="1:7" ht="28" customHeight="1" thickBot="1">
      <c r="A51" s="93" t="s">
        <v>87</v>
      </c>
      <c r="B51" s="94"/>
      <c r="C51" s="94"/>
      <c r="D51" s="94"/>
      <c r="E51" s="94"/>
      <c r="F51" s="94"/>
      <c r="G51" s="95"/>
    </row>
    <row r="52" spans="1:7" ht="16" customHeight="1" thickBot="1">
      <c r="A52" s="35"/>
      <c r="B52" s="36"/>
      <c r="C52" s="36"/>
      <c r="D52" s="36"/>
      <c r="E52" s="36"/>
      <c r="F52" s="36"/>
      <c r="G52" s="37"/>
    </row>
    <row r="53" spans="1:7" s="23" customFormat="1" ht="27" customHeight="1" thickBot="1">
      <c r="A53" s="38" t="s">
        <v>5</v>
      </c>
      <c r="B53" s="38" t="s">
        <v>6</v>
      </c>
      <c r="C53" s="38" t="s">
        <v>7</v>
      </c>
      <c r="D53" s="38" t="s">
        <v>8</v>
      </c>
      <c r="E53" s="38" t="s">
        <v>95</v>
      </c>
      <c r="F53" s="38" t="s">
        <v>96</v>
      </c>
      <c r="G53" s="24"/>
    </row>
    <row r="54" spans="1:7" ht="43.5">
      <c r="A54" s="39">
        <v>4.0999999999999996</v>
      </c>
      <c r="B54" s="39" t="s">
        <v>88</v>
      </c>
      <c r="C54" s="39" t="s">
        <v>38</v>
      </c>
      <c r="D54" s="39">
        <v>12</v>
      </c>
      <c r="E54" s="40">
        <v>13500</v>
      </c>
      <c r="F54" s="40">
        <f>(E54*D54)*22</f>
        <v>3564000</v>
      </c>
      <c r="G54" s="4"/>
    </row>
    <row r="55" spans="1:7" ht="43.5">
      <c r="A55" s="39">
        <v>4.2</v>
      </c>
      <c r="B55" s="39" t="s">
        <v>89</v>
      </c>
      <c r="C55" s="39" t="s">
        <v>90</v>
      </c>
      <c r="D55" s="39">
        <v>30</v>
      </c>
      <c r="E55" s="40">
        <v>5000</v>
      </c>
      <c r="F55" s="40">
        <f t="shared" ref="F55:F56" si="3">(E55*D55)*22</f>
        <v>3300000</v>
      </c>
      <c r="G55" s="4"/>
    </row>
    <row r="56" spans="1:7" ht="43.5">
      <c r="A56" s="39">
        <v>4.3</v>
      </c>
      <c r="B56" s="39" t="s">
        <v>91</v>
      </c>
      <c r="C56" s="39" t="s">
        <v>90</v>
      </c>
      <c r="D56" s="39">
        <v>4</v>
      </c>
      <c r="E56" s="40">
        <v>3000</v>
      </c>
      <c r="F56" s="40">
        <f t="shared" si="3"/>
        <v>264000</v>
      </c>
      <c r="G56" s="4"/>
    </row>
    <row r="57" spans="1:7" ht="58">
      <c r="A57" s="39">
        <v>4.4000000000000004</v>
      </c>
      <c r="B57" s="39" t="s">
        <v>92</v>
      </c>
      <c r="C57" s="39" t="s">
        <v>11</v>
      </c>
      <c r="D57" s="39">
        <v>1</v>
      </c>
      <c r="E57" s="40">
        <v>350000</v>
      </c>
      <c r="F57" s="40">
        <f>(E57*D57)</f>
        <v>350000</v>
      </c>
      <c r="G57" s="4"/>
    </row>
    <row r="58" spans="1:7" ht="58.5" thickBot="1">
      <c r="A58" s="41">
        <v>4.5</v>
      </c>
      <c r="B58" s="41" t="s">
        <v>93</v>
      </c>
      <c r="C58" s="41" t="s">
        <v>11</v>
      </c>
      <c r="D58" s="41">
        <v>1</v>
      </c>
      <c r="E58" s="42">
        <v>500000</v>
      </c>
      <c r="F58" s="42">
        <f>(E58*D58)</f>
        <v>500000</v>
      </c>
      <c r="G58" s="4"/>
    </row>
    <row r="59" spans="1:7" ht="33.5" customHeight="1" thickBot="1">
      <c r="A59" s="43">
        <v>4.5999999999999996</v>
      </c>
      <c r="B59" s="76" t="s">
        <v>94</v>
      </c>
      <c r="C59" s="77"/>
      <c r="D59" s="77"/>
      <c r="E59" s="78"/>
      <c r="F59" s="44">
        <f>SUM(F54:F58)</f>
        <v>7978000</v>
      </c>
      <c r="G59" s="29"/>
    </row>
    <row r="61" spans="1:7" ht="15" thickBot="1"/>
    <row r="62" spans="1:7" ht="19" thickBot="1">
      <c r="A62" s="97" t="s">
        <v>97</v>
      </c>
      <c r="B62" s="98"/>
      <c r="C62" s="98"/>
      <c r="D62" s="98"/>
      <c r="E62" s="98"/>
      <c r="F62" s="98"/>
      <c r="G62" s="99"/>
    </row>
    <row r="63" spans="1:7" ht="15" thickBot="1">
      <c r="A63" s="2"/>
      <c r="B63" s="3"/>
      <c r="C63" s="3"/>
      <c r="D63" s="3"/>
      <c r="E63" s="3"/>
      <c r="F63" s="3"/>
      <c r="G63" s="4"/>
    </row>
    <row r="64" spans="1:7" ht="29.5" thickBot="1">
      <c r="A64" s="14" t="s">
        <v>5</v>
      </c>
      <c r="B64" s="15" t="s">
        <v>6</v>
      </c>
      <c r="C64" s="15" t="s">
        <v>7</v>
      </c>
      <c r="D64" s="15" t="s">
        <v>8</v>
      </c>
      <c r="E64" s="15" t="s">
        <v>9</v>
      </c>
      <c r="F64" s="15" t="s">
        <v>10</v>
      </c>
      <c r="G64" s="16"/>
    </row>
    <row r="65" spans="1:7" ht="29">
      <c r="A65" s="11">
        <v>5.0999999999999996</v>
      </c>
      <c r="B65" s="11" t="s">
        <v>40</v>
      </c>
      <c r="C65" s="11" t="s">
        <v>41</v>
      </c>
      <c r="D65" s="11">
        <v>40</v>
      </c>
      <c r="E65" s="12">
        <v>150000</v>
      </c>
      <c r="F65" s="12">
        <f>(E65*D65)</f>
        <v>6000000</v>
      </c>
      <c r="G65" s="4"/>
    </row>
    <row r="66" spans="1:7" ht="29">
      <c r="A66" s="5">
        <v>5.2</v>
      </c>
      <c r="B66" s="8" t="s">
        <v>42</v>
      </c>
      <c r="C66" s="5" t="s">
        <v>43</v>
      </c>
      <c r="D66" s="5">
        <v>28</v>
      </c>
      <c r="E66" s="6">
        <v>420000</v>
      </c>
      <c r="F66" s="6">
        <f t="shared" ref="F66:F72" si="4">(E66*D66)</f>
        <v>11760000</v>
      </c>
      <c r="G66" s="4"/>
    </row>
    <row r="67" spans="1:7" ht="43.5">
      <c r="A67" s="5">
        <v>5.3</v>
      </c>
      <c r="B67" s="8" t="s">
        <v>44</v>
      </c>
      <c r="C67" s="5" t="s">
        <v>43</v>
      </c>
      <c r="D67" s="5">
        <v>40</v>
      </c>
      <c r="E67" s="6">
        <v>400000</v>
      </c>
      <c r="F67" s="6">
        <f t="shared" si="4"/>
        <v>16000000</v>
      </c>
      <c r="G67" s="4"/>
    </row>
    <row r="68" spans="1:7" ht="29">
      <c r="A68" s="5">
        <v>5.4</v>
      </c>
      <c r="B68" s="5" t="s">
        <v>45</v>
      </c>
      <c r="C68" s="5" t="s">
        <v>43</v>
      </c>
      <c r="D68" s="5">
        <v>12</v>
      </c>
      <c r="E68" s="6">
        <v>150000</v>
      </c>
      <c r="F68" s="6">
        <f t="shared" si="4"/>
        <v>1800000</v>
      </c>
      <c r="G68" s="4"/>
    </row>
    <row r="69" spans="1:7" ht="58">
      <c r="A69" s="5">
        <v>5.5</v>
      </c>
      <c r="B69" s="5" t="s">
        <v>46</v>
      </c>
      <c r="C69" s="5" t="s">
        <v>47</v>
      </c>
      <c r="D69" s="5">
        <v>6600</v>
      </c>
      <c r="E69" s="6">
        <v>1700</v>
      </c>
      <c r="F69" s="6">
        <f t="shared" si="4"/>
        <v>11220000</v>
      </c>
      <c r="G69" s="4"/>
    </row>
    <row r="70" spans="1:7" ht="58">
      <c r="A70" s="32">
        <v>5.6</v>
      </c>
      <c r="B70" s="33" t="s">
        <v>101</v>
      </c>
      <c r="C70" s="33" t="s">
        <v>90</v>
      </c>
      <c r="D70" s="33">
        <v>10</v>
      </c>
      <c r="E70" s="34">
        <v>19500</v>
      </c>
      <c r="F70" s="6">
        <f t="shared" si="4"/>
        <v>195000</v>
      </c>
      <c r="G70" s="4"/>
    </row>
    <row r="71" spans="1:7" ht="43.5">
      <c r="A71" s="5">
        <v>5.7</v>
      </c>
      <c r="B71" s="5" t="s">
        <v>48</v>
      </c>
      <c r="C71" s="5" t="s">
        <v>11</v>
      </c>
      <c r="D71" s="5">
        <v>1</v>
      </c>
      <c r="E71" s="6">
        <v>240000</v>
      </c>
      <c r="F71" s="6">
        <f t="shared" si="4"/>
        <v>240000</v>
      </c>
      <c r="G71" s="4"/>
    </row>
    <row r="72" spans="1:7" ht="44" thickBot="1">
      <c r="A72" s="17">
        <v>5.8</v>
      </c>
      <c r="B72" s="26" t="s">
        <v>49</v>
      </c>
      <c r="C72" s="17" t="s">
        <v>11</v>
      </c>
      <c r="D72" s="17">
        <v>1</v>
      </c>
      <c r="E72" s="18">
        <v>1802000</v>
      </c>
      <c r="F72" s="6">
        <f t="shared" si="4"/>
        <v>1802000</v>
      </c>
      <c r="G72" s="4"/>
    </row>
    <row r="73" spans="1:7" ht="44" customHeight="1" thickBot="1">
      <c r="A73" s="20">
        <v>5.9</v>
      </c>
      <c r="B73" s="76" t="s">
        <v>50</v>
      </c>
      <c r="C73" s="77"/>
      <c r="D73" s="77"/>
      <c r="E73" s="78"/>
      <c r="F73" s="21">
        <f>SUM(F65:F72)</f>
        <v>49017000</v>
      </c>
      <c r="G73" s="22"/>
    </row>
    <row r="75" spans="1:7" ht="15" thickBot="1"/>
    <row r="76" spans="1:7" ht="19" thickBot="1">
      <c r="A76" s="90" t="s">
        <v>98</v>
      </c>
      <c r="B76" s="91"/>
      <c r="C76" s="91"/>
      <c r="D76" s="91"/>
      <c r="E76" s="91"/>
      <c r="F76" s="91"/>
      <c r="G76" s="92"/>
    </row>
    <row r="77" spans="1:7" ht="15" thickBot="1">
      <c r="A77" s="2"/>
      <c r="B77" s="3"/>
      <c r="C77" s="3"/>
      <c r="D77" s="3"/>
      <c r="E77" s="3"/>
      <c r="F77" s="3"/>
      <c r="G77" s="4"/>
    </row>
    <row r="78" spans="1:7" ht="29.5" thickBot="1">
      <c r="A78" s="30" t="s">
        <v>5</v>
      </c>
      <c r="B78" s="10" t="s">
        <v>6</v>
      </c>
      <c r="C78" s="10" t="s">
        <v>7</v>
      </c>
      <c r="D78" s="10" t="s">
        <v>8</v>
      </c>
      <c r="E78" s="10" t="s">
        <v>9</v>
      </c>
      <c r="F78" s="10" t="s">
        <v>10</v>
      </c>
      <c r="G78" s="31"/>
    </row>
    <row r="79" spans="1:7" ht="43.5">
      <c r="A79" s="27">
        <v>6.1</v>
      </c>
      <c r="B79" s="5" t="s">
        <v>51</v>
      </c>
      <c r="C79" s="5" t="s">
        <v>52</v>
      </c>
      <c r="D79" s="5">
        <v>260</v>
      </c>
      <c r="E79" s="6">
        <v>15000</v>
      </c>
      <c r="F79" s="6">
        <f>(E79*D79)</f>
        <v>3900000</v>
      </c>
      <c r="G79" s="4"/>
    </row>
    <row r="80" spans="1:7" ht="43.5">
      <c r="A80" s="27">
        <v>6.2</v>
      </c>
      <c r="B80" s="5" t="s">
        <v>53</v>
      </c>
      <c r="C80" s="5" t="s">
        <v>54</v>
      </c>
      <c r="D80" s="5">
        <v>20</v>
      </c>
      <c r="E80" s="6">
        <v>85000</v>
      </c>
      <c r="F80" s="6">
        <f t="shared" ref="F80:F82" si="5">(E80*D80)</f>
        <v>1700000</v>
      </c>
      <c r="G80" s="4"/>
    </row>
    <row r="81" spans="1:7" ht="43.5">
      <c r="A81" s="27">
        <v>6.3</v>
      </c>
      <c r="B81" s="5" t="s">
        <v>55</v>
      </c>
      <c r="C81" s="5" t="s">
        <v>56</v>
      </c>
      <c r="D81" s="5">
        <v>600</v>
      </c>
      <c r="E81" s="6">
        <v>3000</v>
      </c>
      <c r="F81" s="6">
        <f t="shared" si="5"/>
        <v>1800000</v>
      </c>
      <c r="G81" s="4"/>
    </row>
    <row r="82" spans="1:7" ht="44" thickBot="1">
      <c r="A82" s="28">
        <v>6.4</v>
      </c>
      <c r="B82" s="17" t="s">
        <v>57</v>
      </c>
      <c r="C82" s="17" t="s">
        <v>33</v>
      </c>
      <c r="D82" s="17">
        <v>30</v>
      </c>
      <c r="E82" s="18">
        <v>25000</v>
      </c>
      <c r="F82" s="6">
        <f t="shared" si="5"/>
        <v>750000</v>
      </c>
      <c r="G82" s="4"/>
    </row>
    <row r="83" spans="1:7" ht="29.5" customHeight="1" thickBot="1">
      <c r="A83" s="20">
        <v>6.5</v>
      </c>
      <c r="B83" s="76" t="s">
        <v>58</v>
      </c>
      <c r="C83" s="77"/>
      <c r="D83" s="77"/>
      <c r="E83" s="78"/>
      <c r="F83" s="21">
        <f>SUM(F79:F82)</f>
        <v>8150000</v>
      </c>
      <c r="G83" s="29"/>
    </row>
    <row r="85" spans="1:7" ht="15" thickBot="1"/>
    <row r="86" spans="1:7" ht="19" thickBot="1">
      <c r="A86" s="79" t="s">
        <v>99</v>
      </c>
      <c r="B86" s="80"/>
      <c r="C86" s="80"/>
      <c r="D86" s="80"/>
      <c r="E86" s="80"/>
      <c r="F86" s="80"/>
      <c r="G86" s="81"/>
    </row>
    <row r="87" spans="1:7" ht="15" thickBot="1">
      <c r="A87" s="2"/>
      <c r="B87" s="3"/>
      <c r="C87" s="3"/>
      <c r="D87" s="3"/>
      <c r="E87" s="3"/>
      <c r="F87" s="3"/>
      <c r="G87" s="4"/>
    </row>
    <row r="88" spans="1:7" ht="29.5" thickBot="1">
      <c r="A88" s="30" t="s">
        <v>5</v>
      </c>
      <c r="B88" s="10" t="s">
        <v>6</v>
      </c>
      <c r="C88" s="10" t="s">
        <v>7</v>
      </c>
      <c r="D88" s="10" t="s">
        <v>8</v>
      </c>
      <c r="E88" s="10" t="s">
        <v>59</v>
      </c>
      <c r="F88" s="10" t="s">
        <v>10</v>
      </c>
      <c r="G88" s="31"/>
    </row>
    <row r="89" spans="1:7" ht="43.5">
      <c r="A89" s="27">
        <v>7.1</v>
      </c>
      <c r="B89" s="5" t="s">
        <v>102</v>
      </c>
      <c r="C89" s="5" t="s">
        <v>60</v>
      </c>
      <c r="D89" s="5">
        <v>22</v>
      </c>
      <c r="E89" s="6">
        <v>80000</v>
      </c>
      <c r="F89" s="6">
        <f>(E89*D89)</f>
        <v>1760000</v>
      </c>
      <c r="G89" s="4"/>
    </row>
    <row r="90" spans="1:7" ht="29">
      <c r="A90" s="27">
        <v>7.2</v>
      </c>
      <c r="B90" s="5" t="s">
        <v>61</v>
      </c>
      <c r="C90" s="5" t="s">
        <v>60</v>
      </c>
      <c r="D90" s="5">
        <v>22</v>
      </c>
      <c r="E90" s="6">
        <v>35000</v>
      </c>
      <c r="F90" s="6">
        <f t="shared" ref="F90:F96" si="6">(E90*D90)</f>
        <v>770000</v>
      </c>
      <c r="G90" s="4"/>
    </row>
    <row r="91" spans="1:7" ht="43.5">
      <c r="A91" s="27">
        <v>7.3</v>
      </c>
      <c r="B91" s="5" t="s">
        <v>62</v>
      </c>
      <c r="C91" s="5" t="s">
        <v>60</v>
      </c>
      <c r="D91" s="5">
        <v>22</v>
      </c>
      <c r="E91" s="6">
        <v>30000</v>
      </c>
      <c r="F91" s="6">
        <f t="shared" si="6"/>
        <v>660000</v>
      </c>
      <c r="G91" s="4"/>
    </row>
    <row r="92" spans="1:7" ht="58">
      <c r="A92" s="27">
        <v>7.4</v>
      </c>
      <c r="B92" s="5" t="s">
        <v>63</v>
      </c>
      <c r="C92" s="5" t="s">
        <v>60</v>
      </c>
      <c r="D92" s="5">
        <v>22</v>
      </c>
      <c r="E92" s="6">
        <v>45000</v>
      </c>
      <c r="F92" s="6">
        <f t="shared" si="6"/>
        <v>990000</v>
      </c>
      <c r="G92" s="4"/>
    </row>
    <row r="93" spans="1:7" ht="43.5">
      <c r="A93" s="27">
        <v>7.5</v>
      </c>
      <c r="B93" s="5" t="s">
        <v>64</v>
      </c>
      <c r="C93" s="5" t="s">
        <v>11</v>
      </c>
      <c r="D93" s="5">
        <v>1</v>
      </c>
      <c r="E93" s="6">
        <v>250000</v>
      </c>
      <c r="F93" s="6">
        <f t="shared" si="6"/>
        <v>250000</v>
      </c>
      <c r="G93" s="4"/>
    </row>
    <row r="94" spans="1:7" ht="43.5">
      <c r="A94" s="27">
        <v>7.6</v>
      </c>
      <c r="B94" s="5" t="s">
        <v>103</v>
      </c>
      <c r="C94" s="5" t="s">
        <v>11</v>
      </c>
      <c r="D94" s="5">
        <v>1</v>
      </c>
      <c r="E94" s="6">
        <v>250000</v>
      </c>
      <c r="F94" s="6">
        <f t="shared" si="6"/>
        <v>250000</v>
      </c>
      <c r="G94" s="4"/>
    </row>
    <row r="95" spans="1:7" ht="58">
      <c r="A95" s="27">
        <v>7.7</v>
      </c>
      <c r="B95" s="5" t="s">
        <v>65</v>
      </c>
      <c r="C95" s="5" t="s">
        <v>11</v>
      </c>
      <c r="D95" s="5">
        <v>1</v>
      </c>
      <c r="E95" s="6">
        <v>700000</v>
      </c>
      <c r="F95" s="6">
        <f t="shared" si="6"/>
        <v>700000</v>
      </c>
      <c r="G95" s="4"/>
    </row>
    <row r="96" spans="1:7" ht="58.5" thickBot="1">
      <c r="A96" s="28">
        <v>7.8</v>
      </c>
      <c r="B96" s="17" t="s">
        <v>104</v>
      </c>
      <c r="C96" s="17" t="s">
        <v>35</v>
      </c>
      <c r="D96" s="17">
        <v>1</v>
      </c>
      <c r="E96" s="18">
        <v>1800000</v>
      </c>
      <c r="F96" s="6">
        <f t="shared" si="6"/>
        <v>1800000</v>
      </c>
      <c r="G96" s="4"/>
    </row>
    <row r="97" spans="1:7" ht="29.5" customHeight="1" thickBot="1">
      <c r="A97" s="20">
        <v>7.9</v>
      </c>
      <c r="B97" s="76" t="s">
        <v>66</v>
      </c>
      <c r="C97" s="77"/>
      <c r="D97" s="77"/>
      <c r="E97" s="78"/>
      <c r="F97" s="21">
        <f>SUM(F89:F96)</f>
        <v>7180000</v>
      </c>
      <c r="G97" s="29"/>
    </row>
    <row r="99" spans="1:7" ht="15" thickBot="1"/>
    <row r="100" spans="1:7" ht="19" thickBot="1">
      <c r="A100" s="79" t="s">
        <v>100</v>
      </c>
      <c r="B100" s="80"/>
      <c r="C100" s="80"/>
      <c r="D100" s="80"/>
      <c r="E100" s="80"/>
      <c r="F100" s="80"/>
      <c r="G100" s="81"/>
    </row>
    <row r="101" spans="1:7" ht="15" thickBot="1">
      <c r="A101" s="2"/>
      <c r="B101" s="3"/>
      <c r="C101" s="3"/>
      <c r="D101" s="3"/>
      <c r="E101" s="3"/>
      <c r="F101" s="3"/>
      <c r="G101" s="4"/>
    </row>
    <row r="102" spans="1:7" ht="29.5" thickBot="1">
      <c r="A102" s="14" t="s">
        <v>5</v>
      </c>
      <c r="B102" s="15" t="s">
        <v>6</v>
      </c>
      <c r="C102" s="15" t="s">
        <v>7</v>
      </c>
      <c r="D102" s="15" t="s">
        <v>8</v>
      </c>
      <c r="E102" s="15" t="s">
        <v>9</v>
      </c>
      <c r="F102" s="49" t="s">
        <v>10</v>
      </c>
      <c r="G102" s="50"/>
    </row>
    <row r="103" spans="1:7" ht="43.5">
      <c r="A103" s="48">
        <v>8.1</v>
      </c>
      <c r="B103" s="11" t="s">
        <v>67</v>
      </c>
      <c r="C103" s="11" t="s">
        <v>11</v>
      </c>
      <c r="D103" s="11">
        <v>1</v>
      </c>
      <c r="E103" s="12">
        <v>450000</v>
      </c>
      <c r="F103" s="12">
        <v>450000</v>
      </c>
      <c r="G103" s="4"/>
    </row>
    <row r="104" spans="1:7" ht="58">
      <c r="A104" s="27">
        <v>8.1999999999999993</v>
      </c>
      <c r="B104" s="5" t="s">
        <v>68</v>
      </c>
      <c r="C104" s="5" t="s">
        <v>11</v>
      </c>
      <c r="D104" s="5">
        <v>1</v>
      </c>
      <c r="E104" s="6">
        <v>250000</v>
      </c>
      <c r="F104" s="6">
        <v>250000</v>
      </c>
      <c r="G104" s="4"/>
    </row>
    <row r="105" spans="1:7" ht="43.5">
      <c r="A105" s="27">
        <v>8.3000000000000007</v>
      </c>
      <c r="B105" s="5" t="s">
        <v>69</v>
      </c>
      <c r="C105" s="5" t="s">
        <v>11</v>
      </c>
      <c r="D105" s="5">
        <v>1</v>
      </c>
      <c r="E105" s="6">
        <v>200000</v>
      </c>
      <c r="F105" s="6">
        <v>200000</v>
      </c>
      <c r="G105" s="4"/>
    </row>
    <row r="106" spans="1:7" ht="44" thickBot="1">
      <c r="A106" s="27">
        <v>8.4</v>
      </c>
      <c r="B106" s="5" t="s">
        <v>70</v>
      </c>
      <c r="C106" s="5" t="s">
        <v>11</v>
      </c>
      <c r="D106" s="5">
        <v>1</v>
      </c>
      <c r="E106" s="6">
        <v>600000</v>
      </c>
      <c r="F106" s="6">
        <v>600000</v>
      </c>
      <c r="G106" s="4"/>
    </row>
    <row r="107" spans="1:7" ht="29.5" customHeight="1" thickBot="1">
      <c r="A107" s="46">
        <v>8.5</v>
      </c>
      <c r="B107" s="82" t="s">
        <v>71</v>
      </c>
      <c r="C107" s="82"/>
      <c r="D107" s="82"/>
      <c r="E107" s="82"/>
      <c r="F107" s="47">
        <v>1500000</v>
      </c>
      <c r="G107" s="45"/>
    </row>
    <row r="108" spans="1:7" ht="15" thickBot="1"/>
    <row r="109" spans="1:7">
      <c r="A109" s="86" t="s">
        <v>112</v>
      </c>
      <c r="B109" s="87"/>
      <c r="C109" s="87"/>
      <c r="D109" s="88"/>
    </row>
    <row r="110" spans="1:7">
      <c r="A110" s="59" t="s">
        <v>113</v>
      </c>
      <c r="B110" s="60" t="s">
        <v>114</v>
      </c>
      <c r="C110" s="60" t="s">
        <v>115</v>
      </c>
      <c r="D110" s="61" t="s">
        <v>116</v>
      </c>
    </row>
    <row r="111" spans="1:7" ht="15" thickBot="1">
      <c r="A111" s="62">
        <v>9.1</v>
      </c>
      <c r="B111" s="63" t="s">
        <v>117</v>
      </c>
      <c r="C111" s="64"/>
      <c r="D111" s="65">
        <v>1500000</v>
      </c>
    </row>
    <row r="112" spans="1:7" ht="29.5" thickBot="1">
      <c r="A112" s="69">
        <v>9.1999999999999993</v>
      </c>
      <c r="B112" s="72" t="s">
        <v>78</v>
      </c>
      <c r="C112" s="70"/>
      <c r="D112" s="71">
        <v>600000</v>
      </c>
    </row>
    <row r="113" spans="1:4" ht="29" customHeight="1" thickBot="1">
      <c r="A113" s="67">
        <v>9.3000000000000007</v>
      </c>
      <c r="B113" s="89" t="s">
        <v>119</v>
      </c>
      <c r="C113" s="89"/>
      <c r="D113" s="68">
        <f>SUM(D111:D112)</f>
        <v>2100000</v>
      </c>
    </row>
    <row r="117" spans="1:4" ht="15" thickBot="1"/>
    <row r="118" spans="1:4" ht="25.5" customHeight="1" thickBot="1">
      <c r="A118" s="83" t="s">
        <v>72</v>
      </c>
      <c r="B118" s="84"/>
      <c r="C118" s="85"/>
    </row>
    <row r="119" spans="1:4">
      <c r="A119" s="2"/>
      <c r="B119" s="3"/>
      <c r="C119" s="4"/>
    </row>
    <row r="120" spans="1:4" ht="29">
      <c r="A120" s="66" t="s">
        <v>73</v>
      </c>
      <c r="B120" s="66" t="s">
        <v>74</v>
      </c>
      <c r="C120" s="66" t="s">
        <v>75</v>
      </c>
    </row>
    <row r="121" spans="1:4" ht="26">
      <c r="A121" s="56" t="s">
        <v>76</v>
      </c>
      <c r="B121" s="57" t="s">
        <v>15</v>
      </c>
      <c r="C121" s="58">
        <f>(F19)</f>
        <v>2650000</v>
      </c>
    </row>
    <row r="122" spans="1:4" ht="26">
      <c r="A122" s="56" t="s">
        <v>77</v>
      </c>
      <c r="B122" s="57" t="s">
        <v>27</v>
      </c>
      <c r="C122" s="58">
        <f>(F36)</f>
        <v>18942000</v>
      </c>
    </row>
    <row r="123" spans="1:4" ht="26">
      <c r="A123" s="56" t="s">
        <v>79</v>
      </c>
      <c r="B123" s="57" t="s">
        <v>39</v>
      </c>
      <c r="C123" s="58">
        <f>(F48)</f>
        <v>12188000</v>
      </c>
    </row>
    <row r="124" spans="1:4" ht="26">
      <c r="A124" s="56" t="s">
        <v>105</v>
      </c>
      <c r="B124" s="57" t="s">
        <v>94</v>
      </c>
      <c r="C124" s="58">
        <f>(F59)</f>
        <v>7978000</v>
      </c>
    </row>
    <row r="125" spans="1:4" ht="39">
      <c r="A125" s="56" t="s">
        <v>108</v>
      </c>
      <c r="B125" s="57" t="s">
        <v>50</v>
      </c>
      <c r="C125" s="58">
        <f>(F73)</f>
        <v>49017000</v>
      </c>
    </row>
    <row r="126" spans="1:4" ht="26">
      <c r="A126" s="56" t="s">
        <v>109</v>
      </c>
      <c r="B126" s="57" t="s">
        <v>58</v>
      </c>
      <c r="C126" s="58">
        <f>(F83)</f>
        <v>8150000</v>
      </c>
    </row>
    <row r="127" spans="1:4" ht="26">
      <c r="A127" s="56" t="s">
        <v>110</v>
      </c>
      <c r="B127" s="57" t="s">
        <v>66</v>
      </c>
      <c r="C127" s="58">
        <f>(F97)</f>
        <v>7180000</v>
      </c>
    </row>
    <row r="128" spans="1:4" ht="26">
      <c r="A128" s="56" t="s">
        <v>111</v>
      </c>
      <c r="B128" s="57" t="s">
        <v>71</v>
      </c>
      <c r="C128" s="58">
        <f>(F107)</f>
        <v>1500000</v>
      </c>
    </row>
    <row r="129" spans="1:3" ht="29">
      <c r="A129" s="56" t="s">
        <v>118</v>
      </c>
      <c r="B129" s="73" t="s">
        <v>121</v>
      </c>
      <c r="C129" s="58">
        <f>(D113)</f>
        <v>2100000</v>
      </c>
    </row>
    <row r="130" spans="1:3" ht="29">
      <c r="A130" s="54" t="s">
        <v>120</v>
      </c>
      <c r="B130" s="54" t="s">
        <v>107</v>
      </c>
      <c r="C130" s="55">
        <f>SUM(C121:C129)</f>
        <v>109705000</v>
      </c>
    </row>
    <row r="131" spans="1:3">
      <c r="A131" s="8" t="s">
        <v>122</v>
      </c>
      <c r="B131" s="51" t="s">
        <v>106</v>
      </c>
      <c r="C131" s="9">
        <f>(C130*0.075)</f>
        <v>8227875</v>
      </c>
    </row>
    <row r="132" spans="1:3" ht="29">
      <c r="A132" s="74" t="s">
        <v>80</v>
      </c>
      <c r="B132" s="74" t="s">
        <v>81</v>
      </c>
      <c r="C132" s="75">
        <f>SUM(C130:C131)</f>
        <v>117932875</v>
      </c>
    </row>
    <row r="135" spans="1:3">
      <c r="A135" s="1"/>
    </row>
    <row r="137" spans="1:3">
      <c r="A137" s="1"/>
    </row>
  </sheetData>
  <mergeCells count="24">
    <mergeCell ref="A12:G12"/>
    <mergeCell ref="A2:G2"/>
    <mergeCell ref="A3:G3"/>
    <mergeCell ref="A4:G4"/>
    <mergeCell ref="A8:G8"/>
    <mergeCell ref="A10:G10"/>
    <mergeCell ref="A86:G86"/>
    <mergeCell ref="B19:E19"/>
    <mergeCell ref="A22:G22"/>
    <mergeCell ref="B36:E36"/>
    <mergeCell ref="A39:G39"/>
    <mergeCell ref="B48:E48"/>
    <mergeCell ref="A62:G62"/>
    <mergeCell ref="B73:E73"/>
    <mergeCell ref="A76:G76"/>
    <mergeCell ref="B83:E83"/>
    <mergeCell ref="A51:G51"/>
    <mergeCell ref="B59:E59"/>
    <mergeCell ref="B97:E97"/>
    <mergeCell ref="A100:G100"/>
    <mergeCell ref="B107:E107"/>
    <mergeCell ref="A118:C118"/>
    <mergeCell ref="A109:D109"/>
    <mergeCell ref="B113:C1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Samuel</dc:creator>
  <cp:lastModifiedBy>George Samuel</cp:lastModifiedBy>
  <dcterms:created xsi:type="dcterms:W3CDTF">2026-02-26T12:50:36Z</dcterms:created>
  <dcterms:modified xsi:type="dcterms:W3CDTF">2026-02-26T16:38:17Z</dcterms:modified>
</cp:coreProperties>
</file>